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0" windowWidth="20115" windowHeight="8910" activeTab="1"/>
  </bookViews>
  <sheets>
    <sheet name="FTSE100 Data" sheetId="1" r:id="rId1"/>
    <sheet name="Analysis" sheetId="2" r:id="rId2"/>
    <sheet name="Sheet3" sheetId="3" r:id="rId3"/>
  </sheets>
  <definedNames>
    <definedName name="PerformanceTableProxy.aspx?security_classification_id_100002" localSheetId="0">'FTSE100 Data'!$A$6:$G$107</definedName>
  </definedNames>
  <calcPr calcId="145621"/>
</workbook>
</file>

<file path=xl/calcChain.xml><?xml version="1.0" encoding="utf-8"?>
<calcChain xmlns="http://schemas.openxmlformats.org/spreadsheetml/2006/main">
  <c r="K6" i="2" l="1"/>
  <c r="K4" i="2"/>
  <c r="H6" i="2"/>
  <c r="C6" i="2"/>
  <c r="B6" i="2"/>
  <c r="E4" i="2"/>
  <c r="H5" i="2"/>
  <c r="D5" i="2"/>
  <c r="C5" i="2"/>
  <c r="B5" i="2"/>
  <c r="K23" i="2" l="1"/>
  <c r="H23" i="2"/>
  <c r="D23" i="2"/>
  <c r="C23" i="2"/>
  <c r="L23" i="2" s="1"/>
  <c r="B23" i="2"/>
  <c r="I23" i="2" l="1"/>
  <c r="N23" i="2"/>
  <c r="M23" i="2"/>
  <c r="O23" i="2" s="1"/>
  <c r="P23" i="2" s="1"/>
  <c r="K22" i="2"/>
  <c r="H22" i="2"/>
  <c r="F22" i="2"/>
  <c r="G22" i="2" s="1"/>
  <c r="D22" i="2"/>
  <c r="C22" i="2"/>
  <c r="L22" i="2" s="1"/>
  <c r="B22" i="2"/>
  <c r="I22" i="2" l="1"/>
  <c r="M22" i="2"/>
  <c r="N22" i="2"/>
  <c r="O22" i="2"/>
  <c r="P22" i="2" s="1"/>
  <c r="B18" i="2"/>
  <c r="B21" i="2" l="1"/>
  <c r="B24" i="2"/>
  <c r="H24" i="2" l="1"/>
  <c r="K24" i="2"/>
  <c r="C21" i="2"/>
  <c r="I21" i="2" s="1"/>
  <c r="I19" i="1"/>
  <c r="J19" i="1"/>
  <c r="K19" i="1"/>
  <c r="C24" i="2" l="1"/>
  <c r="I24" i="2" s="1"/>
  <c r="M24" i="2" l="1"/>
  <c r="F24" i="2"/>
  <c r="G24" i="2" s="1"/>
  <c r="K20" i="2"/>
  <c r="K21" i="2"/>
  <c r="H21" i="2"/>
  <c r="L21" i="2"/>
  <c r="C20" i="2"/>
  <c r="B20" i="2"/>
  <c r="D18" i="2"/>
  <c r="D4" i="2"/>
  <c r="K19" i="2"/>
  <c r="H19" i="2"/>
  <c r="C19" i="2"/>
  <c r="B19" i="2"/>
  <c r="K18" i="2"/>
  <c r="H18" i="2"/>
  <c r="C18" i="2"/>
  <c r="L18" i="2" s="1"/>
  <c r="L24" i="2"/>
  <c r="A19" i="2"/>
  <c r="A20" i="2" s="1"/>
  <c r="A21" i="2" s="1"/>
  <c r="A22" i="2" s="1"/>
  <c r="A24" i="2" s="1"/>
  <c r="L19" i="2" l="1"/>
  <c r="I19" i="2"/>
  <c r="N24" i="2"/>
  <c r="O24" i="2"/>
  <c r="P24" i="2" s="1"/>
  <c r="F21" i="2"/>
  <c r="G21" i="2" s="1"/>
  <c r="M21" i="2"/>
  <c r="O21" i="2" s="1"/>
  <c r="P21" i="2" s="1"/>
  <c r="F18" i="2"/>
  <c r="G18" i="2" s="1"/>
  <c r="F19" i="2"/>
  <c r="L20" i="2"/>
  <c r="N20" i="2" s="1"/>
  <c r="M19" i="2"/>
  <c r="O19" i="2" s="1"/>
  <c r="P19" i="2" s="1"/>
  <c r="K25" i="2"/>
  <c r="M18" i="2"/>
  <c r="I18" i="2"/>
  <c r="N18" i="2"/>
  <c r="N19" i="2"/>
  <c r="N21" i="2"/>
  <c r="K8" i="2"/>
  <c r="K7" i="2"/>
  <c r="L6" i="2"/>
  <c r="N6" i="2" s="1"/>
  <c r="M6" i="2"/>
  <c r="L7" i="2"/>
  <c r="N7" i="2" s="1"/>
  <c r="M7" i="2"/>
  <c r="L8" i="2"/>
  <c r="M8" i="2"/>
  <c r="O7" i="2" l="1"/>
  <c r="P7" i="2" s="1"/>
  <c r="L25" i="2"/>
  <c r="O20" i="2"/>
  <c r="P20" i="2" s="1"/>
  <c r="M25" i="2"/>
  <c r="O18" i="2"/>
  <c r="N25" i="2"/>
  <c r="O8" i="2"/>
  <c r="P8" i="2" s="1"/>
  <c r="N8" i="2"/>
  <c r="O6" i="2"/>
  <c r="P6" i="2" s="1"/>
  <c r="O25" i="2" l="1"/>
  <c r="P25" i="2" s="1"/>
  <c r="P18" i="2"/>
  <c r="B4" i="2"/>
  <c r="H4" i="2" l="1"/>
  <c r="H79" i="1" l="1"/>
  <c r="K5" i="2" l="1"/>
  <c r="K9" i="2" s="1"/>
  <c r="C4" i="2" l="1"/>
  <c r="H18" i="1" l="1"/>
  <c r="L5" i="2" l="1"/>
  <c r="N5" i="2" s="1"/>
  <c r="M5" i="2"/>
  <c r="L4" i="2" l="1"/>
  <c r="O5" i="2"/>
  <c r="P5" i="2" s="1"/>
  <c r="M4" i="2"/>
  <c r="H8" i="1"/>
  <c r="J8" i="1" s="1"/>
  <c r="H9" i="1"/>
  <c r="J9" i="1" s="1"/>
  <c r="H10" i="1"/>
  <c r="J10" i="1" s="1"/>
  <c r="H11" i="1"/>
  <c r="J11" i="1" s="1"/>
  <c r="H12" i="1"/>
  <c r="H13" i="1"/>
  <c r="J13" i="1" s="1"/>
  <c r="H14" i="1"/>
  <c r="J14" i="1" s="1"/>
  <c r="H15" i="1"/>
  <c r="J15" i="1" s="1"/>
  <c r="H16" i="1"/>
  <c r="J16" i="1" s="1"/>
  <c r="H17" i="1"/>
  <c r="J17" i="1" s="1"/>
  <c r="J18" i="1"/>
  <c r="G5" i="2"/>
  <c r="H20" i="1"/>
  <c r="J20" i="1" s="1"/>
  <c r="H21" i="1"/>
  <c r="J21" i="1" s="1"/>
  <c r="H22" i="1"/>
  <c r="H23" i="1"/>
  <c r="J23" i="1" s="1"/>
  <c r="H24" i="1"/>
  <c r="J24" i="1" s="1"/>
  <c r="H25" i="1"/>
  <c r="J25" i="1" s="1"/>
  <c r="H26" i="1"/>
  <c r="J26" i="1" s="1"/>
  <c r="H27" i="1"/>
  <c r="J27" i="1" s="1"/>
  <c r="H28" i="1"/>
  <c r="J28" i="1" s="1"/>
  <c r="H29" i="1"/>
  <c r="J29" i="1" s="1"/>
  <c r="H30" i="1"/>
  <c r="J30" i="1" s="1"/>
  <c r="H31" i="1"/>
  <c r="H32" i="1"/>
  <c r="J32" i="1" s="1"/>
  <c r="H33" i="1"/>
  <c r="J33" i="1" s="1"/>
  <c r="H34" i="1"/>
  <c r="J34" i="1" s="1"/>
  <c r="H35" i="1"/>
  <c r="J35" i="1" s="1"/>
  <c r="H36" i="1"/>
  <c r="J36" i="1" s="1"/>
  <c r="H37" i="1"/>
  <c r="J37" i="1" s="1"/>
  <c r="H38" i="1"/>
  <c r="J38" i="1" s="1"/>
  <c r="H39" i="1"/>
  <c r="J39" i="1" s="1"/>
  <c r="H40" i="1"/>
  <c r="J40" i="1" s="1"/>
  <c r="H41" i="1"/>
  <c r="J41" i="1" s="1"/>
  <c r="H42" i="1"/>
  <c r="J42" i="1" s="1"/>
  <c r="H43" i="1"/>
  <c r="J43" i="1" s="1"/>
  <c r="H44" i="1"/>
  <c r="J44" i="1" s="1"/>
  <c r="H45" i="1"/>
  <c r="J45" i="1" s="1"/>
  <c r="H46" i="1"/>
  <c r="J46" i="1" s="1"/>
  <c r="H47" i="1"/>
  <c r="J47" i="1" s="1"/>
  <c r="H48" i="1"/>
  <c r="J48" i="1" s="1"/>
  <c r="H49" i="1"/>
  <c r="J49" i="1" s="1"/>
  <c r="H50" i="1"/>
  <c r="J50" i="1" s="1"/>
  <c r="H51" i="1"/>
  <c r="J51" i="1" s="1"/>
  <c r="H52" i="1"/>
  <c r="J52" i="1" s="1"/>
  <c r="H53" i="1"/>
  <c r="J53" i="1" s="1"/>
  <c r="H54" i="1"/>
  <c r="J54" i="1" s="1"/>
  <c r="H55" i="1"/>
  <c r="J55" i="1" s="1"/>
  <c r="H56" i="1"/>
  <c r="J56" i="1" s="1"/>
  <c r="H57" i="1"/>
  <c r="J57" i="1" s="1"/>
  <c r="H58" i="1"/>
  <c r="J58" i="1" s="1"/>
  <c r="H59" i="1"/>
  <c r="J59" i="1" s="1"/>
  <c r="H60" i="1"/>
  <c r="J60" i="1" s="1"/>
  <c r="H61" i="1"/>
  <c r="J61" i="1" s="1"/>
  <c r="H62" i="1"/>
  <c r="J62" i="1" s="1"/>
  <c r="H63" i="1"/>
  <c r="H64" i="1"/>
  <c r="J64" i="1" s="1"/>
  <c r="H65" i="1"/>
  <c r="J65" i="1" s="1"/>
  <c r="H66" i="1"/>
  <c r="J66" i="1" s="1"/>
  <c r="H67" i="1"/>
  <c r="J67" i="1" s="1"/>
  <c r="H68" i="1"/>
  <c r="J68" i="1" s="1"/>
  <c r="H69" i="1"/>
  <c r="J69" i="1" s="1"/>
  <c r="H70" i="1"/>
  <c r="J70" i="1" s="1"/>
  <c r="H71" i="1"/>
  <c r="J71" i="1" s="1"/>
  <c r="H72" i="1"/>
  <c r="J72" i="1" s="1"/>
  <c r="H73" i="1"/>
  <c r="J73" i="1" s="1"/>
  <c r="H74" i="1"/>
  <c r="J74" i="1" s="1"/>
  <c r="H75" i="1"/>
  <c r="J75" i="1" s="1"/>
  <c r="H76" i="1"/>
  <c r="J76" i="1" s="1"/>
  <c r="H77" i="1"/>
  <c r="J77" i="1" s="1"/>
  <c r="H78" i="1"/>
  <c r="J78" i="1" s="1"/>
  <c r="J79" i="1"/>
  <c r="H80" i="1"/>
  <c r="J80" i="1" s="1"/>
  <c r="H81" i="1"/>
  <c r="H82" i="1"/>
  <c r="J82" i="1" s="1"/>
  <c r="H83" i="1"/>
  <c r="J83" i="1" s="1"/>
  <c r="H84" i="1"/>
  <c r="J84" i="1" s="1"/>
  <c r="H85" i="1"/>
  <c r="J85" i="1" s="1"/>
  <c r="H86" i="1"/>
  <c r="J86" i="1" s="1"/>
  <c r="H87" i="1"/>
  <c r="J87" i="1" s="1"/>
  <c r="H88" i="1"/>
  <c r="J88" i="1" s="1"/>
  <c r="H89" i="1"/>
  <c r="J89" i="1" s="1"/>
  <c r="H90" i="1"/>
  <c r="J90" i="1" s="1"/>
  <c r="H91" i="1"/>
  <c r="J91" i="1" s="1"/>
  <c r="H92" i="1"/>
  <c r="J92" i="1" s="1"/>
  <c r="H93" i="1"/>
  <c r="J93" i="1" s="1"/>
  <c r="H94" i="1"/>
  <c r="J94" i="1" s="1"/>
  <c r="H95" i="1"/>
  <c r="H96" i="1"/>
  <c r="J96" i="1" s="1"/>
  <c r="H97" i="1"/>
  <c r="J97" i="1" s="1"/>
  <c r="H98" i="1"/>
  <c r="J98" i="1" s="1"/>
  <c r="H99" i="1"/>
  <c r="J99" i="1" s="1"/>
  <c r="H100" i="1"/>
  <c r="J100" i="1" s="1"/>
  <c r="H101" i="1"/>
  <c r="J101" i="1" s="1"/>
  <c r="H102" i="1"/>
  <c r="J102" i="1" s="1"/>
  <c r="H103" i="1"/>
  <c r="J103" i="1" s="1"/>
  <c r="H104" i="1"/>
  <c r="J104" i="1" s="1"/>
  <c r="H105" i="1"/>
  <c r="J105" i="1" s="1"/>
  <c r="H106" i="1"/>
  <c r="J106" i="1" s="1"/>
  <c r="H107" i="1"/>
  <c r="J107" i="1" s="1"/>
  <c r="H7" i="1"/>
  <c r="J7" i="1" s="1"/>
  <c r="O4" i="2" l="1"/>
  <c r="M9" i="2"/>
  <c r="N4" i="2"/>
  <c r="N9" i="2" s="1"/>
  <c r="L9" i="2"/>
  <c r="J81" i="1"/>
  <c r="J63" i="1"/>
  <c r="J95" i="1"/>
  <c r="J31" i="1"/>
  <c r="J22" i="1"/>
  <c r="J12" i="1"/>
  <c r="P4" i="2" l="1"/>
  <c r="O9" i="2"/>
  <c r="I4" i="2"/>
  <c r="I5" i="2"/>
  <c r="C11" i="2" l="1"/>
  <c r="A5" i="2"/>
  <c r="A6" i="2" s="1"/>
  <c r="A7" i="2" s="1"/>
  <c r="A8" i="2" s="1"/>
  <c r="C14" i="2" l="1"/>
  <c r="C12" i="2" l="1"/>
  <c r="P9" i="2"/>
  <c r="D14" i="2" l="1"/>
  <c r="C15" i="2"/>
  <c r="D15" i="2" s="1"/>
  <c r="C13" i="2" l="1"/>
  <c r="D13" i="2" s="1"/>
  <c r="K8" i="1" l="1"/>
  <c r="K9" i="1"/>
  <c r="K10" i="1"/>
  <c r="K11" i="1"/>
  <c r="K12" i="1"/>
  <c r="K13" i="1"/>
  <c r="K14" i="1"/>
  <c r="K15" i="1"/>
  <c r="K16" i="1"/>
  <c r="K17" i="1"/>
  <c r="K18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7" i="1"/>
  <c r="I8" i="1" l="1"/>
  <c r="L8" i="1" s="1"/>
  <c r="I9" i="1"/>
  <c r="L9" i="1" s="1"/>
  <c r="I10" i="1"/>
  <c r="L10" i="1" s="1"/>
  <c r="I11" i="1"/>
  <c r="L11" i="1" s="1"/>
  <c r="I12" i="1"/>
  <c r="L12" i="1" s="1"/>
  <c r="I13" i="1"/>
  <c r="L13" i="1" s="1"/>
  <c r="I14" i="1"/>
  <c r="L14" i="1" s="1"/>
  <c r="I15" i="1"/>
  <c r="L15" i="1" s="1"/>
  <c r="I16" i="1"/>
  <c r="L16" i="1" s="1"/>
  <c r="I17" i="1"/>
  <c r="L17" i="1" s="1"/>
  <c r="I18" i="1"/>
  <c r="L18" i="1" s="1"/>
  <c r="L19" i="1"/>
  <c r="I20" i="1"/>
  <c r="L20" i="1" s="1"/>
  <c r="I21" i="1"/>
  <c r="L21" i="1" s="1"/>
  <c r="I22" i="1"/>
  <c r="L22" i="1" s="1"/>
  <c r="I23" i="1"/>
  <c r="L23" i="1" s="1"/>
  <c r="I24" i="1"/>
  <c r="L24" i="1" s="1"/>
  <c r="I25" i="1"/>
  <c r="L25" i="1" s="1"/>
  <c r="I26" i="1"/>
  <c r="L26" i="1" s="1"/>
  <c r="I27" i="1"/>
  <c r="L27" i="1" s="1"/>
  <c r="I28" i="1"/>
  <c r="L28" i="1" s="1"/>
  <c r="I29" i="1"/>
  <c r="L29" i="1" s="1"/>
  <c r="I30" i="1"/>
  <c r="L30" i="1" s="1"/>
  <c r="I31" i="1"/>
  <c r="L31" i="1" s="1"/>
  <c r="I32" i="1"/>
  <c r="L32" i="1" s="1"/>
  <c r="I33" i="1"/>
  <c r="L33" i="1" s="1"/>
  <c r="I34" i="1"/>
  <c r="L34" i="1" s="1"/>
  <c r="I35" i="1"/>
  <c r="L35" i="1" s="1"/>
  <c r="I36" i="1"/>
  <c r="L36" i="1" s="1"/>
  <c r="I37" i="1"/>
  <c r="L37" i="1" s="1"/>
  <c r="I38" i="1"/>
  <c r="L38" i="1" s="1"/>
  <c r="I39" i="1"/>
  <c r="L39" i="1" s="1"/>
  <c r="I40" i="1"/>
  <c r="L40" i="1" s="1"/>
  <c r="I41" i="1"/>
  <c r="L41" i="1" s="1"/>
  <c r="I42" i="1"/>
  <c r="L42" i="1" s="1"/>
  <c r="I43" i="1"/>
  <c r="L43" i="1" s="1"/>
  <c r="I44" i="1"/>
  <c r="L44" i="1" s="1"/>
  <c r="I45" i="1"/>
  <c r="L45" i="1" s="1"/>
  <c r="I46" i="1"/>
  <c r="L46" i="1" s="1"/>
  <c r="I47" i="1"/>
  <c r="L47" i="1" s="1"/>
  <c r="I48" i="1"/>
  <c r="L48" i="1" s="1"/>
  <c r="I49" i="1"/>
  <c r="L49" i="1" s="1"/>
  <c r="I50" i="1"/>
  <c r="L50" i="1" s="1"/>
  <c r="I51" i="1"/>
  <c r="L51" i="1" s="1"/>
  <c r="I52" i="1"/>
  <c r="L52" i="1" s="1"/>
  <c r="I53" i="1"/>
  <c r="L53" i="1" s="1"/>
  <c r="I54" i="1"/>
  <c r="L54" i="1" s="1"/>
  <c r="I55" i="1"/>
  <c r="L55" i="1" s="1"/>
  <c r="I56" i="1"/>
  <c r="L56" i="1" s="1"/>
  <c r="I57" i="1"/>
  <c r="L57" i="1" s="1"/>
  <c r="I58" i="1"/>
  <c r="L58" i="1" s="1"/>
  <c r="I59" i="1"/>
  <c r="L59" i="1" s="1"/>
  <c r="I60" i="1"/>
  <c r="L60" i="1" s="1"/>
  <c r="I61" i="1"/>
  <c r="L61" i="1" s="1"/>
  <c r="I62" i="1"/>
  <c r="L62" i="1" s="1"/>
  <c r="I63" i="1"/>
  <c r="L63" i="1" s="1"/>
  <c r="I64" i="1"/>
  <c r="L64" i="1" s="1"/>
  <c r="I65" i="1"/>
  <c r="L65" i="1" s="1"/>
  <c r="I66" i="1"/>
  <c r="L66" i="1" s="1"/>
  <c r="I67" i="1"/>
  <c r="L67" i="1" s="1"/>
  <c r="I68" i="1"/>
  <c r="L68" i="1" s="1"/>
  <c r="I69" i="1"/>
  <c r="L69" i="1" s="1"/>
  <c r="I70" i="1"/>
  <c r="L70" i="1" s="1"/>
  <c r="I71" i="1"/>
  <c r="L71" i="1" s="1"/>
  <c r="I72" i="1"/>
  <c r="L72" i="1" s="1"/>
  <c r="I73" i="1"/>
  <c r="L73" i="1" s="1"/>
  <c r="I74" i="1"/>
  <c r="L74" i="1" s="1"/>
  <c r="I75" i="1"/>
  <c r="L75" i="1" s="1"/>
  <c r="I76" i="1"/>
  <c r="L76" i="1" s="1"/>
  <c r="I77" i="1"/>
  <c r="L77" i="1" s="1"/>
  <c r="I78" i="1"/>
  <c r="L78" i="1" s="1"/>
  <c r="I79" i="1"/>
  <c r="L79" i="1" s="1"/>
  <c r="I80" i="1"/>
  <c r="L80" i="1" s="1"/>
  <c r="I81" i="1"/>
  <c r="L81" i="1" s="1"/>
  <c r="I82" i="1"/>
  <c r="L82" i="1" s="1"/>
  <c r="I83" i="1"/>
  <c r="L83" i="1" s="1"/>
  <c r="I84" i="1"/>
  <c r="L84" i="1" s="1"/>
  <c r="I85" i="1"/>
  <c r="L85" i="1" s="1"/>
  <c r="I86" i="1"/>
  <c r="L86" i="1" s="1"/>
  <c r="I87" i="1"/>
  <c r="L87" i="1" s="1"/>
  <c r="I88" i="1"/>
  <c r="L88" i="1" s="1"/>
  <c r="I89" i="1"/>
  <c r="L89" i="1" s="1"/>
  <c r="I90" i="1"/>
  <c r="L90" i="1" s="1"/>
  <c r="I91" i="1"/>
  <c r="L91" i="1" s="1"/>
  <c r="I92" i="1"/>
  <c r="L92" i="1" s="1"/>
  <c r="I93" i="1"/>
  <c r="L93" i="1" s="1"/>
  <c r="I94" i="1"/>
  <c r="L94" i="1" s="1"/>
  <c r="I95" i="1"/>
  <c r="L95" i="1" s="1"/>
  <c r="I96" i="1"/>
  <c r="L96" i="1" s="1"/>
  <c r="I97" i="1"/>
  <c r="L97" i="1" s="1"/>
  <c r="I98" i="1"/>
  <c r="L98" i="1" s="1"/>
  <c r="I99" i="1"/>
  <c r="L99" i="1" s="1"/>
  <c r="I100" i="1"/>
  <c r="L100" i="1" s="1"/>
  <c r="I101" i="1"/>
  <c r="L101" i="1" s="1"/>
  <c r="I102" i="1"/>
  <c r="L102" i="1" s="1"/>
  <c r="I103" i="1"/>
  <c r="L103" i="1" s="1"/>
  <c r="I104" i="1"/>
  <c r="L104" i="1" s="1"/>
  <c r="I105" i="1"/>
  <c r="L105" i="1" s="1"/>
  <c r="I7" i="1"/>
  <c r="L7" i="1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www.moneyweek.com/sharesearch/PerformanceTableProxy.aspx?security_classification_id=100002"/>
  </connection>
</connections>
</file>

<file path=xl/sharedStrings.xml><?xml version="1.0" encoding="utf-8"?>
<sst xmlns="http://schemas.openxmlformats.org/spreadsheetml/2006/main" count="186" uniqueCount="134">
  <si>
    <t>Price</t>
  </si>
  <si>
    <t>30 Day Chg</t>
  </si>
  <si>
    <t>EPS</t>
  </si>
  <si>
    <t>P/E</t>
  </si>
  <si>
    <t>PEG</t>
  </si>
  <si>
    <t>Div Yield</t>
  </si>
  <si>
    <t>Market Cap (m)</t>
  </si>
  <si>
    <t>Aberdeen Asset Management</t>
  </si>
  <si>
    <t>Admiral Group</t>
  </si>
  <si>
    <t>Aggreko</t>
  </si>
  <si>
    <t>Anglo American</t>
  </si>
  <si>
    <t>Antofagasta</t>
  </si>
  <si>
    <t>ARM Holdings</t>
  </si>
  <si>
    <t>Associated British Foods</t>
  </si>
  <si>
    <t>AstraZeneca</t>
  </si>
  <si>
    <t>Aviva</t>
  </si>
  <si>
    <t>Babcock International Group</t>
  </si>
  <si>
    <t>BAE Systems</t>
  </si>
  <si>
    <t>Barclays</t>
  </si>
  <si>
    <t>BG Group</t>
  </si>
  <si>
    <t>BHP Billiton</t>
  </si>
  <si>
    <t>BP</t>
  </si>
  <si>
    <t>British American Tobacco</t>
  </si>
  <si>
    <t>British Land Co</t>
  </si>
  <si>
    <t>British Sky Broadcasting Group</t>
  </si>
  <si>
    <t>BT Group</t>
  </si>
  <si>
    <t>Bunzl</t>
  </si>
  <si>
    <t>Burberry Group</t>
  </si>
  <si>
    <t>Carnival</t>
  </si>
  <si>
    <t>Centrica</t>
  </si>
  <si>
    <t>Compass Group</t>
  </si>
  <si>
    <t>CRH</t>
  </si>
  <si>
    <t>Diageo</t>
  </si>
  <si>
    <t>Experian</t>
  </si>
  <si>
    <t>Fresnillo</t>
  </si>
  <si>
    <t>G4S</t>
  </si>
  <si>
    <t>GKN</t>
  </si>
  <si>
    <t>GlaxoSmithKline</t>
  </si>
  <si>
    <t>Hammerson</t>
  </si>
  <si>
    <t>Hargreaves Lansdown</t>
  </si>
  <si>
    <t>HSBC Holdings</t>
  </si>
  <si>
    <t>IMI</t>
  </si>
  <si>
    <t>Imperial Tobacco Group</t>
  </si>
  <si>
    <t>InterContinental Hotels Group</t>
  </si>
  <si>
    <t>Intertek Group</t>
  </si>
  <si>
    <t>ITV</t>
  </si>
  <si>
    <t>Johnson Matthey</t>
  </si>
  <si>
    <t>Kingfisher</t>
  </si>
  <si>
    <t>Land Securities Group</t>
  </si>
  <si>
    <t>Legal &amp; General Group</t>
  </si>
  <si>
    <t>Marks &amp; Spencer Group</t>
  </si>
  <si>
    <t>Meggitt</t>
  </si>
  <si>
    <t>Morrison (Wm) Supermarkets</t>
  </si>
  <si>
    <t>National Grid</t>
  </si>
  <si>
    <t>Next</t>
  </si>
  <si>
    <t>Old Mutual</t>
  </si>
  <si>
    <t>Pearson</t>
  </si>
  <si>
    <t>Prudential</t>
  </si>
  <si>
    <t>Reckitt Benckiser Group</t>
  </si>
  <si>
    <t>Reed Elsevier</t>
  </si>
  <si>
    <t>Rio Tinto</t>
  </si>
  <si>
    <t>RSA Insurance Group</t>
  </si>
  <si>
    <t>SABMiller</t>
  </si>
  <si>
    <t>Sainsbury (J)</t>
  </si>
  <si>
    <t>Schroders</t>
  </si>
  <si>
    <t>Severn Trent</t>
  </si>
  <si>
    <t>Smith &amp; Nephew</t>
  </si>
  <si>
    <t>Smiths Group</t>
  </si>
  <si>
    <t>SSE</t>
  </si>
  <si>
    <t>Standard Chartered</t>
  </si>
  <si>
    <t>Standard Life</t>
  </si>
  <si>
    <t>Tate &amp; Lyle</t>
  </si>
  <si>
    <t>Tesco</t>
  </si>
  <si>
    <t>Tullow Oil</t>
  </si>
  <si>
    <t>Unilever</t>
  </si>
  <si>
    <t>United Utilities Group</t>
  </si>
  <si>
    <t>Vodafone Group</t>
  </si>
  <si>
    <t>Weir Group</t>
  </si>
  <si>
    <t>Whitbread</t>
  </si>
  <si>
    <t>Wolseley</t>
  </si>
  <si>
    <t xml:space="preserve">PE = </t>
  </si>
  <si>
    <t xml:space="preserve">PEG = </t>
  </si>
  <si>
    <t xml:space="preserve">Yield = </t>
  </si>
  <si>
    <t>Name</t>
  </si>
  <si>
    <t>Consider</t>
  </si>
  <si>
    <t>Share Research</t>
  </si>
  <si>
    <t>No</t>
  </si>
  <si>
    <t>Cost</t>
  </si>
  <si>
    <t>Value</t>
  </si>
  <si>
    <t>Income</t>
  </si>
  <si>
    <t>%Return</t>
  </si>
  <si>
    <t>Return</t>
  </si>
  <si>
    <t xml:space="preserve">Total Value of Portfolio </t>
  </si>
  <si>
    <t xml:space="preserve">Total Return </t>
  </si>
  <si>
    <t xml:space="preserve">Total Cost of Portfolio </t>
  </si>
  <si>
    <t xml:space="preserve">Total Pedicted Income </t>
  </si>
  <si>
    <t xml:space="preserve">Gain/Loss </t>
  </si>
  <si>
    <t>PE</t>
  </si>
  <si>
    <t>D.Cove</t>
  </si>
  <si>
    <t>Gain</t>
  </si>
  <si>
    <t>AMEC</t>
  </si>
  <si>
    <t>N/A</t>
  </si>
  <si>
    <t>Capita Group (The)</t>
  </si>
  <si>
    <t>Coca-Cola HBC</t>
  </si>
  <si>
    <t>easyJet</t>
  </si>
  <si>
    <t>Glencore Xstrata</t>
  </si>
  <si>
    <t>International Consolidated Airlines Group</t>
  </si>
  <si>
    <t>London Stock Exchange Group</t>
  </si>
  <si>
    <t>Melrose</t>
  </si>
  <si>
    <t>Mondi</t>
  </si>
  <si>
    <t>Persimmon</t>
  </si>
  <si>
    <t>Petrofac</t>
  </si>
  <si>
    <t>Randgold Resources</t>
  </si>
  <si>
    <t>Resolution</t>
  </si>
  <si>
    <t>REXAM</t>
  </si>
  <si>
    <t>Rolls-Royce Group</t>
  </si>
  <si>
    <t>Royal Bank of Scotland Group (The)</t>
  </si>
  <si>
    <t>Royal Dutch Shell</t>
  </si>
  <si>
    <t>Sage Group (The)</t>
  </si>
  <si>
    <t>Shire</t>
  </si>
  <si>
    <t>Sports Direct International</t>
  </si>
  <si>
    <t>Travis Perkins</t>
  </si>
  <si>
    <t>TUI Travel</t>
  </si>
  <si>
    <t>William Hill</t>
  </si>
  <si>
    <t>WPP Group</t>
  </si>
  <si>
    <t>Yeild</t>
  </si>
  <si>
    <t>Merlin</t>
  </si>
  <si>
    <t>Infinis</t>
  </si>
  <si>
    <t>N/a</t>
  </si>
  <si>
    <t>EPS%</t>
  </si>
  <si>
    <t>Lloyds Banking Group ORD</t>
  </si>
  <si>
    <t>http://moneyweek.com/prices-news-charts/performance-tables/</t>
  </si>
  <si>
    <t>Ashtead Group</t>
  </si>
  <si>
    <t>Royal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</si>
</sst>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£&quot;#,##0.00;[Red]\-&quot;£&quot;#,##0.00"/>
    <numFmt numFmtId="43" formatCode="_-* #,##0.00_-;\-* #,##0.00_-;_-* &quot;-&quot;??_-;_-@_-"/>
    <numFmt numFmtId="164" formatCode="#,##0.00;[Red]#,##0.00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3" xfId="0" applyBorder="1"/>
    <xf numFmtId="0" fontId="2" fillId="0" borderId="2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1" fontId="0" fillId="0" borderId="0" xfId="0" applyNumberFormat="1"/>
    <xf numFmtId="2" fontId="0" fillId="0" borderId="1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3" fillId="0" borderId="0" xfId="0" applyFont="1" applyAlignment="1">
      <alignment horizontal="right"/>
    </xf>
    <xf numFmtId="2" fontId="2" fillId="0" borderId="0" xfId="0" applyNumberFormat="1" applyFont="1"/>
    <xf numFmtId="0" fontId="2" fillId="0" borderId="0" xfId="0" applyFont="1"/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0" xfId="0" applyNumberFormat="1"/>
    <xf numFmtId="0" fontId="0" fillId="0" borderId="0" xfId="0" applyNumberFormat="1"/>
    <xf numFmtId="10" fontId="2" fillId="0" borderId="0" xfId="1" applyNumberFormat="1" applyFont="1" applyAlignment="1">
      <alignment horizontal="center"/>
    </xf>
    <xf numFmtId="0" fontId="0" fillId="0" borderId="16" xfId="0" applyBorder="1"/>
    <xf numFmtId="0" fontId="0" fillId="0" borderId="2" xfId="0" applyBorder="1"/>
    <xf numFmtId="10" fontId="2" fillId="0" borderId="15" xfId="1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0" fillId="0" borderId="0" xfId="0" applyBorder="1"/>
    <xf numFmtId="0" fontId="4" fillId="0" borderId="1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18" xfId="0" applyBorder="1"/>
    <xf numFmtId="0" fontId="8" fillId="0" borderId="0" xfId="2" applyFont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2" fillId="0" borderId="5" xfId="0" applyNumberFormat="1" applyFont="1" applyBorder="1"/>
    <xf numFmtId="2" fontId="2" fillId="0" borderId="7" xfId="0" applyNumberFormat="1" applyFont="1" applyBorder="1" applyAlignment="1">
      <alignment horizontal="center"/>
    </xf>
    <xf numFmtId="43" fontId="0" fillId="0" borderId="0" xfId="3" applyFont="1"/>
    <xf numFmtId="164" fontId="2" fillId="0" borderId="5" xfId="1" applyNumberFormat="1" applyFont="1" applyBorder="1" applyAlignment="1">
      <alignment horizontal="center"/>
    </xf>
    <xf numFmtId="2" fontId="0" fillId="2" borderId="9" xfId="0" applyNumberFormat="1" applyFill="1" applyBorder="1"/>
    <xf numFmtId="2" fontId="0" fillId="2" borderId="12" xfId="0" applyNumberFormat="1" applyFill="1" applyBorder="1"/>
    <xf numFmtId="2" fontId="7" fillId="2" borderId="12" xfId="0" applyNumberFormat="1" applyFont="1" applyFill="1" applyBorder="1"/>
    <xf numFmtId="2" fontId="6" fillId="2" borderId="12" xfId="0" applyNumberFormat="1" applyFont="1" applyFill="1" applyBorder="1"/>
    <xf numFmtId="4" fontId="0" fillId="2" borderId="12" xfId="0" applyNumberFormat="1" applyFill="1" applyBorder="1"/>
    <xf numFmtId="4" fontId="0" fillId="2" borderId="13" xfId="0" applyNumberFormat="1" applyFill="1" applyBorder="1"/>
    <xf numFmtId="4" fontId="0" fillId="2" borderId="10" xfId="0" applyNumberFormat="1" applyFill="1" applyBorder="1"/>
    <xf numFmtId="4" fontId="0" fillId="2" borderId="1" xfId="0" applyNumberFormat="1" applyFill="1" applyBorder="1"/>
    <xf numFmtId="0" fontId="0" fillId="2" borderId="1" xfId="0" applyFill="1" applyBorder="1"/>
    <xf numFmtId="4" fontId="0" fillId="2" borderId="3" xfId="0" applyNumberFormat="1" applyFill="1" applyBorder="1"/>
    <xf numFmtId="0" fontId="0" fillId="0" borderId="23" xfId="0" applyBorder="1"/>
    <xf numFmtId="0" fontId="0" fillId="0" borderId="24" xfId="0" applyBorder="1"/>
    <xf numFmtId="9" fontId="2" fillId="0" borderId="26" xfId="1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2" fontId="0" fillId="2" borderId="10" xfId="1" applyNumberFormat="1" applyFont="1" applyFill="1" applyBorder="1"/>
    <xf numFmtId="2" fontId="0" fillId="2" borderId="1" xfId="1" applyNumberFormat="1" applyFont="1" applyFill="1" applyBorder="1"/>
    <xf numFmtId="2" fontId="0" fillId="2" borderId="3" xfId="1" applyNumberFormat="1" applyFont="1" applyFill="1" applyBorder="1"/>
    <xf numFmtId="2" fontId="0" fillId="0" borderId="0" xfId="1" applyNumberFormat="1" applyFont="1" applyAlignment="1">
      <alignment horizontal="center"/>
    </xf>
    <xf numFmtId="0" fontId="3" fillId="2" borderId="16" xfId="0" applyFont="1" applyFill="1" applyBorder="1" applyAlignment="1">
      <alignment horizontal="center"/>
    </xf>
    <xf numFmtId="8" fontId="0" fillId="0" borderId="11" xfId="0" applyNumberFormat="1" applyBorder="1"/>
    <xf numFmtId="8" fontId="0" fillId="0" borderId="16" xfId="0" applyNumberFormat="1" applyBorder="1"/>
    <xf numFmtId="8" fontId="0" fillId="0" borderId="18" xfId="0" applyNumberFormat="1" applyBorder="1"/>
    <xf numFmtId="0" fontId="0" fillId="0" borderId="28" xfId="0" applyBorder="1" applyAlignment="1">
      <alignment horizontal="center"/>
    </xf>
    <xf numFmtId="164" fontId="0" fillId="0" borderId="1" xfId="3" applyNumberFormat="1" applyFon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4" fontId="0" fillId="0" borderId="10" xfId="3" applyNumberFormat="1" applyFont="1" applyBorder="1" applyAlignment="1">
      <alignment horizontal="center"/>
    </xf>
    <xf numFmtId="10" fontId="2" fillId="0" borderId="11" xfId="1" applyNumberFormat="1" applyFont="1" applyBorder="1" applyAlignment="1">
      <alignment horizontal="center"/>
    </xf>
    <xf numFmtId="10" fontId="2" fillId="0" borderId="16" xfId="1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5" xfId="0" applyBorder="1"/>
    <xf numFmtId="0" fontId="0" fillId="0" borderId="7" xfId="0" applyBorder="1"/>
    <xf numFmtId="0" fontId="0" fillId="0" borderId="15" xfId="0" applyBorder="1"/>
    <xf numFmtId="0" fontId="0" fillId="0" borderId="38" xfId="0" applyBorder="1" applyAlignment="1">
      <alignment horizontal="center"/>
    </xf>
    <xf numFmtId="0" fontId="0" fillId="0" borderId="40" xfId="0" applyBorder="1"/>
    <xf numFmtId="0" fontId="0" fillId="0" borderId="41" xfId="0" applyBorder="1" applyAlignment="1">
      <alignment horizontal="center"/>
    </xf>
    <xf numFmtId="4" fontId="0" fillId="0" borderId="4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2" fontId="2" fillId="0" borderId="8" xfId="0" applyNumberFormat="1" applyFont="1" applyBorder="1"/>
    <xf numFmtId="2" fontId="0" fillId="0" borderId="9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4" fontId="0" fillId="0" borderId="3" xfId="3" applyNumberFormat="1" applyFont="1" applyBorder="1" applyAlignment="1">
      <alignment horizontal="center"/>
    </xf>
    <xf numFmtId="10" fontId="2" fillId="0" borderId="18" xfId="1" applyNumberFormat="1" applyFont="1" applyBorder="1" applyAlignment="1">
      <alignment horizontal="center"/>
    </xf>
    <xf numFmtId="10" fontId="0" fillId="0" borderId="0" xfId="0" applyNumberFormat="1"/>
    <xf numFmtId="165" fontId="0" fillId="0" borderId="4" xfId="0" applyNumberFormat="1" applyBorder="1" applyAlignment="1">
      <alignment horizontal="center"/>
    </xf>
    <xf numFmtId="0" fontId="0" fillId="2" borderId="24" xfId="0" applyFill="1" applyBorder="1"/>
    <xf numFmtId="0" fontId="5" fillId="0" borderId="37" xfId="2" applyBorder="1"/>
    <xf numFmtId="0" fontId="0" fillId="0" borderId="0" xfId="0" applyAlignment="1">
      <alignment vertical="center"/>
    </xf>
    <xf numFmtId="2" fontId="0" fillId="0" borderId="4" xfId="1" applyNumberFormat="1" applyFont="1" applyBorder="1" applyAlignment="1">
      <alignment horizontal="center"/>
    </xf>
    <xf numFmtId="0" fontId="5" fillId="0" borderId="0" xfId="2"/>
    <xf numFmtId="0" fontId="5" fillId="0" borderId="38" xfId="2" applyBorder="1"/>
    <xf numFmtId="2" fontId="0" fillId="2" borderId="10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0" fontId="5" fillId="0" borderId="39" xfId="2" applyBorder="1"/>
    <xf numFmtId="2" fontId="5" fillId="0" borderId="39" xfId="2" applyNumberFormat="1" applyBorder="1"/>
    <xf numFmtId="0" fontId="0" fillId="2" borderId="25" xfId="0" applyFill="1" applyBorder="1"/>
    <xf numFmtId="0" fontId="0" fillId="2" borderId="0" xfId="0" applyFill="1"/>
    <xf numFmtId="2" fontId="5" fillId="0" borderId="38" xfId="2" applyNumberFormat="1" applyBorder="1"/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1</xdr:row>
          <xdr:rowOff>9525</xdr:rowOff>
        </xdr:from>
        <xdr:to>
          <xdr:col>0</xdr:col>
          <xdr:colOff>2466975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FTSE100 Download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erformanceTableProxy.aspx?security_classification_id=10000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oneyweek.com/prices-news-charts/performance-tables/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l.co.uk/shares/shares-search-results/i/infinis-energy-plc-ordinary-shares-gbp0.01" TargetMode="External"/><Relationship Id="rId3" Type="http://schemas.openxmlformats.org/officeDocument/2006/relationships/hyperlink" Target="http://www.hl.co.uk/shares/shares-search-results/n/national-grid-ordinary-11,1743p" TargetMode="External"/><Relationship Id="rId7" Type="http://schemas.openxmlformats.org/officeDocument/2006/relationships/hyperlink" Target="http://www.hl.co.uk/shares/shares-search-results/m/merlin-entertainments-plc-ord-shs-gbp0.01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://www.hl.co.uk/shares/shares-search-results/b/barclays-plc-ordinary-25p" TargetMode="External"/><Relationship Id="rId1" Type="http://schemas.openxmlformats.org/officeDocument/2006/relationships/hyperlink" Target="http://www.hl.co.uk/shares" TargetMode="External"/><Relationship Id="rId6" Type="http://schemas.openxmlformats.org/officeDocument/2006/relationships/hyperlink" Target="http://www.hl.co.uk/shares/shares-search-results/r/royal-mail-plc-ordinary-gbp0.01" TargetMode="External"/><Relationship Id="rId11" Type="http://schemas.openxmlformats.org/officeDocument/2006/relationships/hyperlink" Target="http://www.hl.co.uk/shares/shares-search-results/s/sainsbury-j-plc-ordinary-28,47p" TargetMode="External"/><Relationship Id="rId5" Type="http://schemas.openxmlformats.org/officeDocument/2006/relationships/hyperlink" Target="http://www.hl.co.uk/shares/shares-search-results/r/rsa-insurance-group-27.5p" TargetMode="External"/><Relationship Id="rId10" Type="http://schemas.openxmlformats.org/officeDocument/2006/relationships/hyperlink" Target="http://www.hl.co.uk/shares/shares-search-results/p/prudential-plc-ordinary-5p-shares" TargetMode="External"/><Relationship Id="rId4" Type="http://schemas.openxmlformats.org/officeDocument/2006/relationships/hyperlink" Target="http://www.hl.co.uk/shares/shares-search-results/m/morrison-wm-supermarkets-ordinary-10p" TargetMode="External"/><Relationship Id="rId9" Type="http://schemas.openxmlformats.org/officeDocument/2006/relationships/hyperlink" Target="http://www.hl.co.uk/shares/shares-search-results/l/lloyds-banking-group-plc-ordinary-10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7"/>
  <sheetViews>
    <sheetView topLeftCell="A85" workbookViewId="0">
      <selection activeCell="A7" sqref="A7:G107"/>
    </sheetView>
  </sheetViews>
  <sheetFormatPr defaultRowHeight="15" x14ac:dyDescent="0.25"/>
  <cols>
    <col min="1" max="1" width="46.7109375" customWidth="1"/>
    <col min="2" max="2" width="9.28515625" bestFit="1" customWidth="1"/>
    <col min="3" max="3" width="10.42578125" bestFit="1" customWidth="1"/>
    <col min="4" max="4" width="9.7109375" customWidth="1"/>
    <col min="5" max="5" width="6" customWidth="1"/>
    <col min="6" max="6" width="8.85546875" customWidth="1"/>
    <col min="7" max="7" width="14.85546875" customWidth="1"/>
    <col min="8" max="8" width="10" customWidth="1"/>
    <col min="13" max="13" width="5.28515625" customWidth="1"/>
    <col min="14" max="14" width="4.28515625" customWidth="1"/>
    <col min="15" max="15" width="5.42578125" customWidth="1"/>
    <col min="16" max="16" width="4.5703125" customWidth="1"/>
    <col min="17" max="17" width="5.42578125" customWidth="1"/>
    <col min="18" max="18" width="5.5703125" customWidth="1"/>
    <col min="19" max="19" width="7" customWidth="1"/>
    <col min="20" max="20" width="16.7109375" customWidth="1"/>
  </cols>
  <sheetData>
    <row r="1" spans="1:12" x14ac:dyDescent="0.25">
      <c r="A1" s="26"/>
      <c r="G1" s="6"/>
      <c r="H1" s="6"/>
    </row>
    <row r="2" spans="1:12" x14ac:dyDescent="0.25">
      <c r="A2" s="26"/>
      <c r="B2" s="1" t="s">
        <v>80</v>
      </c>
      <c r="C2" s="5">
        <v>11</v>
      </c>
      <c r="D2" s="110"/>
    </row>
    <row r="3" spans="1:12" x14ac:dyDescent="0.25">
      <c r="A3" s="26"/>
      <c r="B3" s="1" t="s">
        <v>81</v>
      </c>
      <c r="C3" s="5">
        <v>1</v>
      </c>
    </row>
    <row r="4" spans="1:12" x14ac:dyDescent="0.25">
      <c r="A4" s="99" t="s">
        <v>131</v>
      </c>
      <c r="B4" s="1" t="s">
        <v>82</v>
      </c>
      <c r="C4" s="60">
        <v>4</v>
      </c>
    </row>
    <row r="5" spans="1:12" ht="15.75" thickBot="1" x14ac:dyDescent="0.3"/>
    <row r="6" spans="1:12" ht="15.75" thickBot="1" x14ac:dyDescent="0.3">
      <c r="A6" s="4" t="s">
        <v>83</v>
      </c>
      <c r="B6" s="49" t="s">
        <v>0</v>
      </c>
      <c r="C6" s="50" t="s">
        <v>1</v>
      </c>
      <c r="D6" s="50" t="s">
        <v>2</v>
      </c>
      <c r="E6" s="50" t="s">
        <v>3</v>
      </c>
      <c r="F6" s="50" t="s">
        <v>5</v>
      </c>
      <c r="G6" s="51" t="s">
        <v>6</v>
      </c>
      <c r="H6" s="52" t="s">
        <v>4</v>
      </c>
      <c r="I6" s="53" t="s">
        <v>3</v>
      </c>
      <c r="J6" s="50" t="s">
        <v>4</v>
      </c>
      <c r="K6" s="50" t="s">
        <v>5</v>
      </c>
      <c r="L6" s="54" t="s">
        <v>84</v>
      </c>
    </row>
    <row r="7" spans="1:12" x14ac:dyDescent="0.25">
      <c r="A7" s="47" t="s">
        <v>7</v>
      </c>
      <c r="B7" s="37">
        <v>483.15</v>
      </c>
      <c r="C7" s="101">
        <v>1.63</v>
      </c>
      <c r="D7" s="43">
        <v>2716</v>
      </c>
      <c r="E7" s="45">
        <v>17.649999999999999</v>
      </c>
      <c r="F7" s="57">
        <v>3.34</v>
      </c>
      <c r="G7" s="62">
        <v>5748.33</v>
      </c>
      <c r="H7" s="104">
        <f>E7/(C7)</f>
        <v>10.828220858895705</v>
      </c>
      <c r="I7" s="28" t="str">
        <f t="shared" ref="I7:I38" si="0">IF(E7="n/a","",IF(E7&lt;$C$2,"Buy",""))</f>
        <v/>
      </c>
      <c r="J7" s="28" t="str">
        <f>IF(E7="n/a","",IF(H7&lt;$C$3,"Buy",""))</f>
        <v/>
      </c>
      <c r="K7" s="28" t="str">
        <f t="shared" ref="K7:K38" si="1">IF(F7="n/a","",IF(F7&gt;$C$4,"Buy",""))</f>
        <v/>
      </c>
      <c r="L7" s="29" t="str">
        <f>IF(AND(I7="Buy",J7="Buy",K7="Buy"),"Buy","")</f>
        <v/>
      </c>
    </row>
    <row r="8" spans="1:12" x14ac:dyDescent="0.25">
      <c r="A8" s="95" t="s">
        <v>8</v>
      </c>
      <c r="B8" s="38">
        <v>1307</v>
      </c>
      <c r="C8" s="102">
        <v>4.3099999999999996</v>
      </c>
      <c r="D8" s="44">
        <v>9510</v>
      </c>
      <c r="E8" s="45">
        <v>13.55</v>
      </c>
      <c r="F8" s="58">
        <v>7.32</v>
      </c>
      <c r="G8" s="63">
        <v>3559.46</v>
      </c>
      <c r="H8" s="105">
        <f t="shared" ref="H8:H71" si="2">E8/(C8)</f>
        <v>3.1438515081206502</v>
      </c>
      <c r="I8" s="55" t="str">
        <f t="shared" si="0"/>
        <v/>
      </c>
      <c r="J8" s="55" t="str">
        <f t="shared" ref="J8:J71" si="3">IF(E8="n/a","",IF(H8&lt;$C$3,"Buy",""))</f>
        <v/>
      </c>
      <c r="K8" s="55" t="str">
        <f t="shared" si="1"/>
        <v>Buy</v>
      </c>
      <c r="L8" s="24" t="str">
        <f t="shared" ref="L8:L69" si="4">IF(AND(I8="Buy",J8="Buy",K8="Buy"),"Buy","")</f>
        <v/>
      </c>
    </row>
    <row r="9" spans="1:12" x14ac:dyDescent="0.25">
      <c r="A9" s="48" t="s">
        <v>9</v>
      </c>
      <c r="B9" s="38">
        <v>1696.5</v>
      </c>
      <c r="C9" s="102">
        <v>8.4700000000000006</v>
      </c>
      <c r="D9" s="44">
        <v>10414</v>
      </c>
      <c r="E9" s="45">
        <v>16.14</v>
      </c>
      <c r="F9" s="58">
        <v>1.47</v>
      </c>
      <c r="G9" s="63">
        <v>4522.34</v>
      </c>
      <c r="H9" s="105">
        <f t="shared" si="2"/>
        <v>1.9055489964580874</v>
      </c>
      <c r="I9" s="55" t="str">
        <f t="shared" si="0"/>
        <v/>
      </c>
      <c r="J9" s="55" t="str">
        <f t="shared" si="3"/>
        <v/>
      </c>
      <c r="K9" s="55" t="str">
        <f t="shared" si="1"/>
        <v/>
      </c>
      <c r="L9" s="24" t="str">
        <f t="shared" si="4"/>
        <v/>
      </c>
    </row>
    <row r="10" spans="1:12" x14ac:dyDescent="0.25">
      <c r="A10" s="48" t="s">
        <v>100</v>
      </c>
      <c r="B10" s="38">
        <v>1074</v>
      </c>
      <c r="C10" s="102">
        <v>-7.17</v>
      </c>
      <c r="D10" s="44">
        <v>6850</v>
      </c>
      <c r="E10" s="45">
        <v>15.61</v>
      </c>
      <c r="F10" s="58">
        <v>3.58</v>
      </c>
      <c r="G10" s="63">
        <v>3180.14</v>
      </c>
      <c r="H10" s="105">
        <f t="shared" si="2"/>
        <v>-2.1771269177126915</v>
      </c>
      <c r="I10" s="55" t="str">
        <f t="shared" si="0"/>
        <v/>
      </c>
      <c r="J10" s="55" t="str">
        <f t="shared" si="3"/>
        <v>Buy</v>
      </c>
      <c r="K10" s="55" t="str">
        <f t="shared" si="1"/>
        <v/>
      </c>
      <c r="L10" s="24" t="str">
        <f t="shared" si="4"/>
        <v/>
      </c>
    </row>
    <row r="11" spans="1:12" x14ac:dyDescent="0.25">
      <c r="A11" s="48" t="s">
        <v>10</v>
      </c>
      <c r="B11" s="38">
        <v>1277.25</v>
      </c>
      <c r="C11" s="102">
        <v>-7.45</v>
      </c>
      <c r="D11" s="44">
        <v>-11900</v>
      </c>
      <c r="E11" s="45" t="s">
        <v>101</v>
      </c>
      <c r="F11" s="58">
        <v>4.3099999999999996</v>
      </c>
      <c r="G11" s="63">
        <v>17633.18</v>
      </c>
      <c r="H11" s="105" t="e">
        <f t="shared" si="2"/>
        <v>#VALUE!</v>
      </c>
      <c r="I11" s="55" t="str">
        <f t="shared" si="0"/>
        <v/>
      </c>
      <c r="J11" s="55" t="str">
        <f t="shared" si="3"/>
        <v/>
      </c>
      <c r="K11" s="55" t="str">
        <f t="shared" si="1"/>
        <v>Buy</v>
      </c>
      <c r="L11" s="24" t="str">
        <f t="shared" si="4"/>
        <v/>
      </c>
    </row>
    <row r="12" spans="1:12" x14ac:dyDescent="0.25">
      <c r="A12" s="95" t="s">
        <v>11</v>
      </c>
      <c r="B12" s="38">
        <v>806.5</v>
      </c>
      <c r="C12" s="102">
        <v>2.15</v>
      </c>
      <c r="D12" s="44">
        <v>10470</v>
      </c>
      <c r="E12" s="45">
        <v>7.68</v>
      </c>
      <c r="F12" s="58">
        <v>7.88</v>
      </c>
      <c r="G12" s="63">
        <v>7931.22</v>
      </c>
      <c r="H12" s="105">
        <f t="shared" si="2"/>
        <v>3.5720930232558139</v>
      </c>
      <c r="I12" s="27" t="str">
        <f t="shared" si="0"/>
        <v>Buy</v>
      </c>
      <c r="J12" s="55" t="str">
        <f t="shared" si="3"/>
        <v/>
      </c>
      <c r="K12" s="27" t="str">
        <f t="shared" si="1"/>
        <v>Buy</v>
      </c>
      <c r="L12" s="25" t="str">
        <f t="shared" si="4"/>
        <v/>
      </c>
    </row>
    <row r="13" spans="1:12" x14ac:dyDescent="0.25">
      <c r="A13" s="95" t="s">
        <v>12</v>
      </c>
      <c r="B13" s="38">
        <v>1097</v>
      </c>
      <c r="C13" s="102">
        <v>10.7</v>
      </c>
      <c r="D13" s="44">
        <v>1169</v>
      </c>
      <c r="E13" s="45">
        <v>94.87</v>
      </c>
      <c r="F13" s="58">
        <v>0.45</v>
      </c>
      <c r="G13" s="63">
        <v>15528.46</v>
      </c>
      <c r="H13" s="105">
        <f t="shared" si="2"/>
        <v>8.8663551401869167</v>
      </c>
      <c r="I13" s="55" t="str">
        <f t="shared" si="0"/>
        <v/>
      </c>
      <c r="J13" s="55" t="str">
        <f t="shared" si="3"/>
        <v/>
      </c>
      <c r="K13" s="55" t="str">
        <f t="shared" si="1"/>
        <v/>
      </c>
      <c r="L13" s="24" t="str">
        <f t="shared" si="4"/>
        <v/>
      </c>
    </row>
    <row r="14" spans="1:12" x14ac:dyDescent="0.25">
      <c r="A14" s="95" t="s">
        <v>132</v>
      </c>
      <c r="B14" s="39">
        <v>769</v>
      </c>
      <c r="C14" s="102">
        <v>17.670000000000002</v>
      </c>
      <c r="D14" s="44">
        <v>2770</v>
      </c>
      <c r="E14" s="45">
        <v>27.54</v>
      </c>
      <c r="F14" s="58">
        <v>1.08</v>
      </c>
      <c r="G14" s="63">
        <v>3839.26</v>
      </c>
      <c r="H14" s="105">
        <f t="shared" si="2"/>
        <v>1.5585738539898131</v>
      </c>
      <c r="I14" s="27" t="str">
        <f t="shared" si="0"/>
        <v/>
      </c>
      <c r="J14" s="55" t="str">
        <f t="shared" si="3"/>
        <v/>
      </c>
      <c r="K14" s="27" t="str">
        <f t="shared" si="1"/>
        <v/>
      </c>
      <c r="L14" s="25" t="str">
        <f t="shared" si="4"/>
        <v/>
      </c>
    </row>
    <row r="15" spans="1:12" x14ac:dyDescent="0.25">
      <c r="A15" s="95" t="s">
        <v>13</v>
      </c>
      <c r="B15" s="38">
        <v>2479</v>
      </c>
      <c r="C15" s="102">
        <v>8.2100000000000009</v>
      </c>
      <c r="D15" s="44">
        <v>7480</v>
      </c>
      <c r="E15" s="45">
        <v>32.71</v>
      </c>
      <c r="F15" s="58">
        <v>1.31</v>
      </c>
      <c r="G15" s="63">
        <v>19368.310000000001</v>
      </c>
      <c r="H15" s="105">
        <f t="shared" si="2"/>
        <v>3.9841656516443358</v>
      </c>
      <c r="I15" s="27" t="str">
        <f t="shared" si="0"/>
        <v/>
      </c>
      <c r="J15" s="55" t="str">
        <f t="shared" si="3"/>
        <v/>
      </c>
      <c r="K15" s="27" t="str">
        <f t="shared" si="1"/>
        <v/>
      </c>
      <c r="L15" s="24" t="str">
        <f t="shared" si="4"/>
        <v/>
      </c>
    </row>
    <row r="16" spans="1:12" x14ac:dyDescent="0.25">
      <c r="A16" s="95" t="s">
        <v>14</v>
      </c>
      <c r="B16" s="38">
        <v>3618.75</v>
      </c>
      <c r="C16" s="102">
        <v>5</v>
      </c>
      <c r="D16" s="44">
        <v>49900</v>
      </c>
      <c r="E16" s="45">
        <v>7.2</v>
      </c>
      <c r="F16" s="58">
        <v>5</v>
      </c>
      <c r="G16" s="63">
        <v>45079.59</v>
      </c>
      <c r="H16" s="105">
        <f t="shared" si="2"/>
        <v>1.44</v>
      </c>
      <c r="I16" s="27" t="str">
        <f t="shared" si="0"/>
        <v>Buy</v>
      </c>
      <c r="J16" s="55" t="str">
        <f t="shared" si="3"/>
        <v/>
      </c>
      <c r="K16" s="27" t="str">
        <f t="shared" si="1"/>
        <v>Buy</v>
      </c>
      <c r="L16" s="24" t="str">
        <f t="shared" si="4"/>
        <v/>
      </c>
    </row>
    <row r="17" spans="1:12" x14ac:dyDescent="0.25">
      <c r="A17" s="95" t="s">
        <v>15</v>
      </c>
      <c r="B17" s="38">
        <v>445.8</v>
      </c>
      <c r="C17" s="102">
        <v>3.82</v>
      </c>
      <c r="D17" s="44">
        <v>-1520</v>
      </c>
      <c r="E17" s="45" t="s">
        <v>101</v>
      </c>
      <c r="F17" s="58">
        <v>3.28</v>
      </c>
      <c r="G17" s="63">
        <v>13135.98</v>
      </c>
      <c r="H17" s="105" t="e">
        <f t="shared" si="2"/>
        <v>#VALUE!</v>
      </c>
      <c r="I17" s="27" t="str">
        <f t="shared" si="0"/>
        <v/>
      </c>
      <c r="J17" s="55" t="str">
        <f t="shared" si="3"/>
        <v/>
      </c>
      <c r="K17" s="27" t="str">
        <f t="shared" si="1"/>
        <v/>
      </c>
      <c r="L17" s="25" t="str">
        <f t="shared" si="4"/>
        <v/>
      </c>
    </row>
    <row r="18" spans="1:12" x14ac:dyDescent="0.25">
      <c r="A18" s="95" t="s">
        <v>16</v>
      </c>
      <c r="B18" s="38">
        <v>1324</v>
      </c>
      <c r="C18" s="102">
        <v>-0.08</v>
      </c>
      <c r="D18" s="44">
        <v>4880</v>
      </c>
      <c r="E18" s="45">
        <v>27.05</v>
      </c>
      <c r="F18" s="58">
        <v>2.04</v>
      </c>
      <c r="G18" s="63">
        <v>4779.38</v>
      </c>
      <c r="H18" s="105">
        <f t="shared" si="2"/>
        <v>-338.125</v>
      </c>
      <c r="I18" s="27" t="str">
        <f t="shared" si="0"/>
        <v/>
      </c>
      <c r="J18" s="55" t="str">
        <f t="shared" si="3"/>
        <v>Buy</v>
      </c>
      <c r="K18" s="27" t="str">
        <f t="shared" si="1"/>
        <v/>
      </c>
      <c r="L18" s="24" t="str">
        <f t="shared" si="4"/>
        <v/>
      </c>
    </row>
    <row r="19" spans="1:12" x14ac:dyDescent="0.25">
      <c r="A19" s="95" t="s">
        <v>17</v>
      </c>
      <c r="B19" s="38">
        <v>431.6</v>
      </c>
      <c r="C19" s="102">
        <v>0.19</v>
      </c>
      <c r="D19" s="44">
        <v>3300</v>
      </c>
      <c r="E19" s="45">
        <v>13.03</v>
      </c>
      <c r="F19" s="58">
        <v>4.58</v>
      </c>
      <c r="G19" s="63">
        <v>13806.72</v>
      </c>
      <c r="H19" s="105">
        <v>0.3</v>
      </c>
      <c r="I19" s="27" t="str">
        <f t="shared" ref="I19" si="5">IF(E19="n/a","",IF(E19&lt;$C$2,"Buy",""))</f>
        <v/>
      </c>
      <c r="J19" s="55" t="str">
        <f t="shared" ref="J19" si="6">IF(E19="n/a","",IF(H19&lt;$C$3,"Buy",""))</f>
        <v>Buy</v>
      </c>
      <c r="K19" s="27" t="str">
        <f t="shared" ref="K19" si="7">IF(F19="n/a","",IF(F19&gt;$C$4,"Buy",""))</f>
        <v>Buy</v>
      </c>
      <c r="L19" s="24" t="str">
        <f t="shared" si="4"/>
        <v/>
      </c>
    </row>
    <row r="20" spans="1:12" x14ac:dyDescent="0.25">
      <c r="A20" s="95" t="s">
        <v>18</v>
      </c>
      <c r="B20" s="38">
        <v>266.3</v>
      </c>
      <c r="C20" s="102">
        <v>3.64</v>
      </c>
      <c r="D20" s="44">
        <v>-850</v>
      </c>
      <c r="E20" s="45" t="s">
        <v>101</v>
      </c>
      <c r="F20" s="58">
        <v>2.46</v>
      </c>
      <c r="G20" s="63">
        <v>42591.74</v>
      </c>
      <c r="H20" s="105" t="e">
        <f t="shared" si="2"/>
        <v>#VALUE!</v>
      </c>
      <c r="I20" s="27" t="str">
        <f t="shared" si="0"/>
        <v/>
      </c>
      <c r="J20" s="55" t="str">
        <f t="shared" si="3"/>
        <v/>
      </c>
      <c r="K20" s="27" t="str">
        <f t="shared" si="1"/>
        <v/>
      </c>
      <c r="L20" s="24" t="str">
        <f t="shared" si="4"/>
        <v/>
      </c>
    </row>
    <row r="21" spans="1:12" x14ac:dyDescent="0.25">
      <c r="A21" s="95" t="s">
        <v>19</v>
      </c>
      <c r="B21" s="38">
        <v>1287.75</v>
      </c>
      <c r="C21" s="102">
        <v>2.2400000000000002</v>
      </c>
      <c r="D21" s="44">
        <v>9750</v>
      </c>
      <c r="E21" s="45">
        <v>13.05</v>
      </c>
      <c r="F21" s="58">
        <v>1.38</v>
      </c>
      <c r="G21" s="63">
        <v>43390.52</v>
      </c>
      <c r="H21" s="105">
        <f t="shared" si="2"/>
        <v>5.8258928571428568</v>
      </c>
      <c r="I21" s="27" t="str">
        <f t="shared" si="0"/>
        <v/>
      </c>
      <c r="J21" s="55" t="str">
        <f t="shared" si="3"/>
        <v/>
      </c>
      <c r="K21" s="27" t="str">
        <f t="shared" si="1"/>
        <v/>
      </c>
      <c r="L21" s="25" t="str">
        <f t="shared" si="4"/>
        <v/>
      </c>
    </row>
    <row r="22" spans="1:12" x14ac:dyDescent="0.25">
      <c r="A22" s="95" t="s">
        <v>20</v>
      </c>
      <c r="B22" s="38">
        <v>1834.5</v>
      </c>
      <c r="C22" s="102">
        <v>-2.21</v>
      </c>
      <c r="D22" s="44">
        <v>20440</v>
      </c>
      <c r="E22" s="45">
        <v>8.9600000000000009</v>
      </c>
      <c r="F22" s="58">
        <v>4.0599999999999996</v>
      </c>
      <c r="G22" s="63">
        <v>38693.160000000003</v>
      </c>
      <c r="H22" s="105">
        <f t="shared" si="2"/>
        <v>-4.0542986425339373</v>
      </c>
      <c r="I22" s="27" t="str">
        <f t="shared" si="0"/>
        <v>Buy</v>
      </c>
      <c r="J22" s="55" t="str">
        <f t="shared" si="3"/>
        <v>Buy</v>
      </c>
      <c r="K22" s="27" t="str">
        <f t="shared" si="1"/>
        <v>Buy</v>
      </c>
      <c r="L22" s="24" t="str">
        <f t="shared" si="4"/>
        <v>Buy</v>
      </c>
    </row>
    <row r="23" spans="1:12" x14ac:dyDescent="0.25">
      <c r="A23" s="95" t="s">
        <v>21</v>
      </c>
      <c r="B23" s="38">
        <v>490.05</v>
      </c>
      <c r="C23" s="102">
        <v>-0.69</v>
      </c>
      <c r="D23" s="44">
        <v>6086</v>
      </c>
      <c r="E23" s="45">
        <v>7.96</v>
      </c>
      <c r="F23" s="58">
        <v>4.4400000000000004</v>
      </c>
      <c r="G23" s="63">
        <v>90052.41</v>
      </c>
      <c r="H23" s="105">
        <f t="shared" si="2"/>
        <v>-11.536231884057973</v>
      </c>
      <c r="I23" s="27" t="str">
        <f t="shared" si="0"/>
        <v>Buy</v>
      </c>
      <c r="J23" s="55" t="str">
        <f t="shared" si="3"/>
        <v>Buy</v>
      </c>
      <c r="K23" s="27" t="str">
        <f t="shared" si="1"/>
        <v>Buy</v>
      </c>
      <c r="L23" s="24" t="str">
        <f t="shared" si="4"/>
        <v>Buy</v>
      </c>
    </row>
    <row r="24" spans="1:12" x14ac:dyDescent="0.25">
      <c r="A24" s="95" t="s">
        <v>22</v>
      </c>
      <c r="B24" s="38">
        <v>3224.25</v>
      </c>
      <c r="C24" s="102">
        <v>-1.43</v>
      </c>
      <c r="D24" s="44">
        <v>19810</v>
      </c>
      <c r="E24" s="45">
        <v>16.22</v>
      </c>
      <c r="F24" s="58">
        <v>4.29</v>
      </c>
      <c r="G24" s="63">
        <v>60633.05</v>
      </c>
      <c r="H24" s="105">
        <f t="shared" si="2"/>
        <v>-11.342657342657342</v>
      </c>
      <c r="I24" s="27" t="str">
        <f t="shared" si="0"/>
        <v/>
      </c>
      <c r="J24" s="55" t="str">
        <f t="shared" si="3"/>
        <v>Buy</v>
      </c>
      <c r="K24" s="27" t="str">
        <f t="shared" si="1"/>
        <v>Buy</v>
      </c>
      <c r="L24" s="24" t="str">
        <f t="shared" si="4"/>
        <v/>
      </c>
    </row>
    <row r="25" spans="1:12" x14ac:dyDescent="0.25">
      <c r="A25" s="95" t="s">
        <v>23</v>
      </c>
      <c r="B25" s="38">
        <v>626.5</v>
      </c>
      <c r="C25" s="102">
        <v>3.47</v>
      </c>
      <c r="D25" s="44">
        <v>3170</v>
      </c>
      <c r="E25" s="45">
        <v>19.649999999999999</v>
      </c>
      <c r="F25" s="58">
        <v>4.29</v>
      </c>
      <c r="G25" s="63">
        <v>6249.57</v>
      </c>
      <c r="H25" s="105">
        <f t="shared" si="2"/>
        <v>5.662824207492795</v>
      </c>
      <c r="I25" s="27" t="str">
        <f t="shared" si="0"/>
        <v/>
      </c>
      <c r="J25" s="55" t="str">
        <f t="shared" si="3"/>
        <v/>
      </c>
      <c r="K25" s="27" t="str">
        <f t="shared" si="1"/>
        <v>Buy</v>
      </c>
      <c r="L25" s="25" t="str">
        <f t="shared" si="4"/>
        <v/>
      </c>
    </row>
    <row r="26" spans="1:12" x14ac:dyDescent="0.25">
      <c r="A26" s="95" t="s">
        <v>24</v>
      </c>
      <c r="B26" s="38">
        <v>830.25</v>
      </c>
      <c r="C26" s="102">
        <v>-0.03</v>
      </c>
      <c r="D26" s="44">
        <v>6070</v>
      </c>
      <c r="E26" s="45">
        <v>13.38</v>
      </c>
      <c r="F26" s="58">
        <v>3.69</v>
      </c>
      <c r="G26" s="63">
        <v>12832.54</v>
      </c>
      <c r="H26" s="105">
        <f t="shared" si="2"/>
        <v>-446.00000000000006</v>
      </c>
      <c r="I26" s="27" t="str">
        <f t="shared" si="0"/>
        <v/>
      </c>
      <c r="J26" s="55" t="str">
        <f t="shared" si="3"/>
        <v>Buy</v>
      </c>
      <c r="K26" s="27" t="str">
        <f t="shared" si="1"/>
        <v/>
      </c>
      <c r="L26" s="24" t="str">
        <f t="shared" si="4"/>
        <v/>
      </c>
    </row>
    <row r="27" spans="1:12" x14ac:dyDescent="0.25">
      <c r="A27" s="95" t="s">
        <v>25</v>
      </c>
      <c r="B27" s="38">
        <v>380.05</v>
      </c>
      <c r="C27" s="102">
        <v>1.05</v>
      </c>
      <c r="D27" s="44">
        <v>2670</v>
      </c>
      <c r="E27" s="45">
        <v>14.09</v>
      </c>
      <c r="F27" s="58">
        <v>2.63</v>
      </c>
      <c r="G27" s="63">
        <v>29754.77</v>
      </c>
      <c r="H27" s="105">
        <f t="shared" si="2"/>
        <v>13.419047619047618</v>
      </c>
      <c r="I27" s="27" t="str">
        <f t="shared" si="0"/>
        <v/>
      </c>
      <c r="J27" s="55" t="str">
        <f t="shared" si="3"/>
        <v/>
      </c>
      <c r="K27" s="27" t="str">
        <f t="shared" si="1"/>
        <v/>
      </c>
      <c r="L27" s="24" t="str">
        <f t="shared" si="4"/>
        <v/>
      </c>
    </row>
    <row r="28" spans="1:12" x14ac:dyDescent="0.25">
      <c r="A28" s="95" t="s">
        <v>26</v>
      </c>
      <c r="B28" s="38">
        <v>1440.5</v>
      </c>
      <c r="C28" s="102">
        <v>4.08</v>
      </c>
      <c r="D28" s="44">
        <v>5990</v>
      </c>
      <c r="E28" s="45">
        <v>23.72</v>
      </c>
      <c r="F28" s="58">
        <v>2.0699999999999998</v>
      </c>
      <c r="G28" s="63">
        <v>4738.8</v>
      </c>
      <c r="H28" s="105">
        <f t="shared" si="2"/>
        <v>5.8137254901960782</v>
      </c>
      <c r="I28" s="27" t="str">
        <f t="shared" si="0"/>
        <v/>
      </c>
      <c r="J28" s="55" t="str">
        <f t="shared" si="3"/>
        <v/>
      </c>
      <c r="K28" s="27" t="str">
        <f t="shared" si="1"/>
        <v/>
      </c>
      <c r="L28" s="24" t="str">
        <f t="shared" si="4"/>
        <v/>
      </c>
    </row>
    <row r="29" spans="1:12" x14ac:dyDescent="0.25">
      <c r="A29" s="95" t="s">
        <v>27</v>
      </c>
      <c r="B29" s="38">
        <v>1473</v>
      </c>
      <c r="C29" s="102">
        <v>-0.27</v>
      </c>
      <c r="D29" s="44">
        <v>5830</v>
      </c>
      <c r="E29" s="45">
        <v>25.09</v>
      </c>
      <c r="F29" s="58">
        <v>2.04</v>
      </c>
      <c r="G29" s="63">
        <v>6484.74</v>
      </c>
      <c r="H29" s="105">
        <f t="shared" si="2"/>
        <v>-92.925925925925924</v>
      </c>
      <c r="I29" s="27" t="str">
        <f t="shared" si="0"/>
        <v/>
      </c>
      <c r="J29" s="55" t="str">
        <f t="shared" si="3"/>
        <v>Buy</v>
      </c>
      <c r="K29" s="27" t="str">
        <f t="shared" si="1"/>
        <v/>
      </c>
      <c r="L29" s="24" t="str">
        <f t="shared" si="4"/>
        <v/>
      </c>
    </row>
    <row r="30" spans="1:12" x14ac:dyDescent="0.25">
      <c r="A30" s="95" t="s">
        <v>102</v>
      </c>
      <c r="B30" s="38">
        <v>1026.5</v>
      </c>
      <c r="C30" s="102">
        <v>5.01</v>
      </c>
      <c r="D30" s="44">
        <v>3708</v>
      </c>
      <c r="E30" s="45">
        <v>27.67</v>
      </c>
      <c r="F30" s="58">
        <v>2.37</v>
      </c>
      <c r="G30" s="63">
        <v>6760.18</v>
      </c>
      <c r="H30" s="105">
        <f t="shared" si="2"/>
        <v>5.5229540918163682</v>
      </c>
      <c r="I30" s="27" t="str">
        <f t="shared" si="0"/>
        <v/>
      </c>
      <c r="J30" s="55" t="str">
        <f t="shared" si="3"/>
        <v/>
      </c>
      <c r="K30" s="27" t="str">
        <f t="shared" si="1"/>
        <v/>
      </c>
      <c r="L30" s="24" t="str">
        <f t="shared" si="4"/>
        <v/>
      </c>
    </row>
    <row r="31" spans="1:12" x14ac:dyDescent="0.25">
      <c r="A31" s="95" t="s">
        <v>28</v>
      </c>
      <c r="B31" s="38">
        <v>2473</v>
      </c>
      <c r="C31" s="102">
        <v>11</v>
      </c>
      <c r="D31" s="44">
        <v>13900</v>
      </c>
      <c r="E31" s="45">
        <v>17.690000000000001</v>
      </c>
      <c r="F31" s="58">
        <v>2.61</v>
      </c>
      <c r="G31" s="63">
        <v>5304.99</v>
      </c>
      <c r="H31" s="105">
        <f t="shared" si="2"/>
        <v>1.6081818181818184</v>
      </c>
      <c r="I31" s="27" t="str">
        <f t="shared" si="0"/>
        <v/>
      </c>
      <c r="J31" s="55" t="str">
        <f t="shared" si="3"/>
        <v/>
      </c>
      <c r="K31" s="27" t="str">
        <f t="shared" si="1"/>
        <v/>
      </c>
      <c r="L31" s="25" t="str">
        <f t="shared" si="4"/>
        <v/>
      </c>
    </row>
    <row r="32" spans="1:12" x14ac:dyDescent="0.25">
      <c r="A32" s="95" t="s">
        <v>29</v>
      </c>
      <c r="B32" s="38">
        <v>344.4</v>
      </c>
      <c r="C32" s="102">
        <v>0.23</v>
      </c>
      <c r="D32" s="44">
        <v>2460</v>
      </c>
      <c r="E32" s="45">
        <v>13.94</v>
      </c>
      <c r="F32" s="58">
        <v>4.87</v>
      </c>
      <c r="G32" s="63">
        <v>17427.560000000001</v>
      </c>
      <c r="H32" s="105">
        <f t="shared" si="2"/>
        <v>60.608695652173907</v>
      </c>
      <c r="I32" s="27" t="str">
        <f t="shared" si="0"/>
        <v/>
      </c>
      <c r="J32" s="55" t="str">
        <f t="shared" si="3"/>
        <v/>
      </c>
      <c r="K32" s="27" t="str">
        <f t="shared" si="1"/>
        <v>Buy</v>
      </c>
      <c r="L32" s="24" t="str">
        <f t="shared" si="4"/>
        <v/>
      </c>
    </row>
    <row r="33" spans="1:12" x14ac:dyDescent="0.25">
      <c r="A33" s="95" t="s">
        <v>103</v>
      </c>
      <c r="B33" s="38">
        <v>1742</v>
      </c>
      <c r="C33" s="102">
        <v>-2.52</v>
      </c>
      <c r="D33" s="44">
        <v>0</v>
      </c>
      <c r="E33" s="45" t="s">
        <v>101</v>
      </c>
      <c r="F33" s="58">
        <v>0</v>
      </c>
      <c r="G33" s="63">
        <v>6292.34</v>
      </c>
      <c r="H33" s="105" t="e">
        <f t="shared" si="2"/>
        <v>#VALUE!</v>
      </c>
      <c r="I33" s="27" t="str">
        <f t="shared" si="0"/>
        <v/>
      </c>
      <c r="J33" s="55" t="str">
        <f t="shared" si="3"/>
        <v/>
      </c>
      <c r="K33" s="27" t="str">
        <f t="shared" si="1"/>
        <v/>
      </c>
      <c r="L33" s="24" t="str">
        <f t="shared" si="4"/>
        <v/>
      </c>
    </row>
    <row r="34" spans="1:12" x14ac:dyDescent="0.25">
      <c r="A34" s="95" t="s">
        <v>30</v>
      </c>
      <c r="B34" s="38">
        <v>956.5</v>
      </c>
      <c r="C34" s="102">
        <v>5.1100000000000003</v>
      </c>
      <c r="D34" s="44">
        <v>2350</v>
      </c>
      <c r="E34" s="45">
        <v>40.4</v>
      </c>
      <c r="F34" s="58">
        <v>2.5299999999999998</v>
      </c>
      <c r="G34" s="63">
        <v>17046.5</v>
      </c>
      <c r="H34" s="105">
        <f t="shared" si="2"/>
        <v>7.9060665362035216</v>
      </c>
      <c r="I34" s="27" t="str">
        <f t="shared" si="0"/>
        <v/>
      </c>
      <c r="J34" s="55" t="str">
        <f t="shared" si="3"/>
        <v/>
      </c>
      <c r="K34" s="27" t="str">
        <f t="shared" si="1"/>
        <v/>
      </c>
      <c r="L34" s="24" t="str">
        <f t="shared" si="4"/>
        <v/>
      </c>
    </row>
    <row r="35" spans="1:12" x14ac:dyDescent="0.25">
      <c r="A35" s="95" t="s">
        <v>31</v>
      </c>
      <c r="B35" s="38">
        <v>1513.5</v>
      </c>
      <c r="C35" s="102">
        <v>-2.79</v>
      </c>
      <c r="D35" s="44">
        <v>7650</v>
      </c>
      <c r="E35" s="45">
        <v>19.88</v>
      </c>
      <c r="F35" s="58">
        <v>4.1100000000000003</v>
      </c>
      <c r="G35" s="63">
        <v>11149.45</v>
      </c>
      <c r="H35" s="105">
        <f t="shared" si="2"/>
        <v>-7.1254480286738344</v>
      </c>
      <c r="I35" s="27" t="str">
        <f t="shared" si="0"/>
        <v/>
      </c>
      <c r="J35" s="55" t="str">
        <f t="shared" si="3"/>
        <v>Buy</v>
      </c>
      <c r="K35" s="27" t="str">
        <f t="shared" si="1"/>
        <v>Buy</v>
      </c>
      <c r="L35" s="24" t="str">
        <f t="shared" si="4"/>
        <v/>
      </c>
    </row>
    <row r="36" spans="1:12" x14ac:dyDescent="0.25">
      <c r="A36" s="95" t="s">
        <v>32</v>
      </c>
      <c r="B36" s="38">
        <v>1961.25</v>
      </c>
      <c r="C36" s="102">
        <v>-0.75</v>
      </c>
      <c r="D36" s="44">
        <v>9930</v>
      </c>
      <c r="E36" s="45">
        <v>19.760000000000002</v>
      </c>
      <c r="F36" s="58">
        <v>2.42</v>
      </c>
      <c r="G36" s="63">
        <v>49256.2</v>
      </c>
      <c r="H36" s="105">
        <f t="shared" si="2"/>
        <v>-26.346666666666668</v>
      </c>
      <c r="I36" s="27" t="str">
        <f t="shared" si="0"/>
        <v/>
      </c>
      <c r="J36" s="55" t="str">
        <f t="shared" si="3"/>
        <v>Buy</v>
      </c>
      <c r="K36" s="27" t="str">
        <f t="shared" si="1"/>
        <v/>
      </c>
      <c r="L36" s="24" t="str">
        <f t="shared" si="4"/>
        <v/>
      </c>
    </row>
    <row r="37" spans="1:12" x14ac:dyDescent="0.25">
      <c r="A37" s="95" t="s">
        <v>104</v>
      </c>
      <c r="B37" s="38">
        <v>1521.5</v>
      </c>
      <c r="C37" s="102">
        <v>8.2899999999999991</v>
      </c>
      <c r="D37" s="44">
        <v>10130</v>
      </c>
      <c r="E37" s="45">
        <v>14.94</v>
      </c>
      <c r="F37" s="58">
        <v>2.21</v>
      </c>
      <c r="G37" s="63">
        <v>6001.67</v>
      </c>
      <c r="H37" s="105">
        <f t="shared" si="2"/>
        <v>1.8021712907117009</v>
      </c>
      <c r="I37" s="27" t="str">
        <f t="shared" si="0"/>
        <v/>
      </c>
      <c r="J37" s="55" t="str">
        <f t="shared" si="3"/>
        <v/>
      </c>
      <c r="K37" s="27" t="str">
        <f t="shared" si="1"/>
        <v/>
      </c>
      <c r="L37" s="25" t="str">
        <f t="shared" si="4"/>
        <v/>
      </c>
    </row>
    <row r="38" spans="1:12" x14ac:dyDescent="0.25">
      <c r="A38" s="95" t="s">
        <v>33</v>
      </c>
      <c r="B38" s="38">
        <v>1100</v>
      </c>
      <c r="C38" s="102">
        <v>-4.68</v>
      </c>
      <c r="D38" s="44">
        <v>3710</v>
      </c>
      <c r="E38" s="45">
        <v>29.54</v>
      </c>
      <c r="F38" s="58">
        <v>2.08</v>
      </c>
      <c r="G38" s="63">
        <v>10965.85</v>
      </c>
      <c r="H38" s="105">
        <f t="shared" si="2"/>
        <v>-6.3119658119658117</v>
      </c>
      <c r="I38" s="27" t="str">
        <f t="shared" si="0"/>
        <v/>
      </c>
      <c r="J38" s="55" t="str">
        <f t="shared" si="3"/>
        <v>Buy</v>
      </c>
      <c r="K38" s="27" t="str">
        <f t="shared" si="1"/>
        <v/>
      </c>
      <c r="L38" s="24" t="str">
        <f t="shared" si="4"/>
        <v/>
      </c>
    </row>
    <row r="39" spans="1:12" x14ac:dyDescent="0.25">
      <c r="A39" s="95" t="s">
        <v>34</v>
      </c>
      <c r="B39" s="38">
        <v>704.25</v>
      </c>
      <c r="C39" s="102">
        <v>-16.21</v>
      </c>
      <c r="D39" s="44">
        <v>10260</v>
      </c>
      <c r="E39" s="45">
        <v>6.85</v>
      </c>
      <c r="F39" s="58">
        <v>4.3099999999999996</v>
      </c>
      <c r="G39" s="63">
        <v>5180.3599999999997</v>
      </c>
      <c r="H39" s="105">
        <f t="shared" si="2"/>
        <v>-0.42257865515114124</v>
      </c>
      <c r="I39" s="27" t="str">
        <f t="shared" ref="I39:I70" si="8">IF(E39="n/a","",IF(E39&lt;$C$2,"Buy",""))</f>
        <v>Buy</v>
      </c>
      <c r="J39" s="55" t="str">
        <f t="shared" si="3"/>
        <v>Buy</v>
      </c>
      <c r="K39" s="27" t="str">
        <f t="shared" ref="K39:K70" si="9">IF(F39="n/a","",IF(F39&gt;$C$4,"Buy",""))</f>
        <v>Buy</v>
      </c>
      <c r="L39" s="24" t="str">
        <f t="shared" si="4"/>
        <v>Buy</v>
      </c>
    </row>
    <row r="40" spans="1:12" x14ac:dyDescent="0.25">
      <c r="A40" s="95" t="s">
        <v>35</v>
      </c>
      <c r="B40" s="38">
        <v>258.05</v>
      </c>
      <c r="C40" s="102">
        <v>-2.11</v>
      </c>
      <c r="D40" s="45">
        <v>340</v>
      </c>
      <c r="E40" s="45">
        <v>74.87</v>
      </c>
      <c r="F40" s="58">
        <v>3.52</v>
      </c>
      <c r="G40" s="63">
        <v>3949.58</v>
      </c>
      <c r="H40" s="105">
        <f t="shared" si="2"/>
        <v>-35.483412322274887</v>
      </c>
      <c r="I40" s="27" t="str">
        <f t="shared" si="8"/>
        <v/>
      </c>
      <c r="J40" s="55" t="str">
        <f t="shared" si="3"/>
        <v>Buy</v>
      </c>
      <c r="K40" s="27" t="str">
        <f t="shared" si="9"/>
        <v/>
      </c>
      <c r="L40" s="24" t="str">
        <f t="shared" si="4"/>
        <v/>
      </c>
    </row>
    <row r="41" spans="1:12" x14ac:dyDescent="0.25">
      <c r="A41" s="95" t="s">
        <v>36</v>
      </c>
      <c r="B41" s="38">
        <v>372.9</v>
      </c>
      <c r="C41" s="102">
        <v>0.05</v>
      </c>
      <c r="D41" s="44">
        <v>3020</v>
      </c>
      <c r="E41" s="45">
        <v>12.27</v>
      </c>
      <c r="F41" s="58">
        <v>2</v>
      </c>
      <c r="G41" s="63">
        <v>6074.41</v>
      </c>
      <c r="H41" s="105">
        <f t="shared" si="2"/>
        <v>245.39999999999998</v>
      </c>
      <c r="I41" s="27" t="str">
        <f t="shared" si="8"/>
        <v/>
      </c>
      <c r="J41" s="55" t="str">
        <f t="shared" si="3"/>
        <v/>
      </c>
      <c r="K41" s="27" t="str">
        <f t="shared" si="9"/>
        <v/>
      </c>
      <c r="L41" s="24" t="str">
        <f t="shared" si="4"/>
        <v/>
      </c>
    </row>
    <row r="42" spans="1:12" x14ac:dyDescent="0.25">
      <c r="A42" s="95" t="s">
        <v>37</v>
      </c>
      <c r="B42" s="38">
        <v>1597</v>
      </c>
      <c r="C42" s="102">
        <v>-2.71</v>
      </c>
      <c r="D42" s="44">
        <v>9290</v>
      </c>
      <c r="E42" s="45">
        <v>17.04</v>
      </c>
      <c r="F42" s="58">
        <v>4.74</v>
      </c>
      <c r="G42" s="63">
        <v>76849.84</v>
      </c>
      <c r="H42" s="105">
        <f t="shared" si="2"/>
        <v>-6.2878228782287824</v>
      </c>
      <c r="I42" s="27" t="str">
        <f t="shared" si="8"/>
        <v/>
      </c>
      <c r="J42" s="55" t="str">
        <f t="shared" si="3"/>
        <v>Buy</v>
      </c>
      <c r="K42" s="27" t="str">
        <f t="shared" si="9"/>
        <v>Buy</v>
      </c>
      <c r="L42" s="25" t="str">
        <f t="shared" si="4"/>
        <v/>
      </c>
    </row>
    <row r="43" spans="1:12" x14ac:dyDescent="0.25">
      <c r="A43" s="95" t="s">
        <v>105</v>
      </c>
      <c r="B43" s="38">
        <v>306.89999999999998</v>
      </c>
      <c r="C43" s="102">
        <v>-1.57</v>
      </c>
      <c r="D43" s="44">
        <v>1400</v>
      </c>
      <c r="E43" s="45">
        <v>22.13</v>
      </c>
      <c r="F43" s="58">
        <v>0</v>
      </c>
      <c r="G43" s="63">
        <v>41094.01</v>
      </c>
      <c r="H43" s="105">
        <f t="shared" si="2"/>
        <v>-14.095541401273884</v>
      </c>
      <c r="I43" s="27" t="str">
        <f t="shared" si="8"/>
        <v/>
      </c>
      <c r="J43" s="55" t="str">
        <f t="shared" si="3"/>
        <v>Buy</v>
      </c>
      <c r="K43" s="27" t="str">
        <f t="shared" si="9"/>
        <v/>
      </c>
      <c r="L43" s="24" t="str">
        <f t="shared" si="4"/>
        <v/>
      </c>
    </row>
    <row r="44" spans="1:12" x14ac:dyDescent="0.25">
      <c r="A44" s="95" t="s">
        <v>38</v>
      </c>
      <c r="B44" s="38">
        <v>501.75</v>
      </c>
      <c r="C44" s="102">
        <v>-1.42</v>
      </c>
      <c r="D44" s="44">
        <v>1940</v>
      </c>
      <c r="E44" s="45">
        <v>25.85</v>
      </c>
      <c r="F44" s="58">
        <v>3.65</v>
      </c>
      <c r="G44" s="63">
        <v>3575.07</v>
      </c>
      <c r="H44" s="105">
        <f t="shared" si="2"/>
        <v>-18.20422535211268</v>
      </c>
      <c r="I44" s="27" t="str">
        <f t="shared" si="8"/>
        <v/>
      </c>
      <c r="J44" s="55" t="str">
        <f t="shared" si="3"/>
        <v>Buy</v>
      </c>
      <c r="K44" s="27" t="str">
        <f t="shared" si="9"/>
        <v/>
      </c>
      <c r="L44" s="24" t="str">
        <f t="shared" si="4"/>
        <v/>
      </c>
    </row>
    <row r="45" spans="1:12" x14ac:dyDescent="0.25">
      <c r="A45" s="95" t="s">
        <v>39</v>
      </c>
      <c r="B45" s="38">
        <v>1313.5</v>
      </c>
      <c r="C45" s="102">
        <v>11.98</v>
      </c>
      <c r="D45" s="44">
        <v>3170</v>
      </c>
      <c r="E45" s="45">
        <v>41.75</v>
      </c>
      <c r="F45" s="58">
        <v>2.2400000000000002</v>
      </c>
      <c r="G45" s="63">
        <v>6277.61</v>
      </c>
      <c r="H45" s="105">
        <f t="shared" si="2"/>
        <v>3.484974958263773</v>
      </c>
      <c r="I45" s="27" t="str">
        <f t="shared" si="8"/>
        <v/>
      </c>
      <c r="J45" s="55" t="str">
        <f t="shared" si="3"/>
        <v/>
      </c>
      <c r="K45" s="27" t="str">
        <f t="shared" si="9"/>
        <v/>
      </c>
      <c r="L45" s="24" t="str">
        <f t="shared" si="4"/>
        <v/>
      </c>
    </row>
    <row r="46" spans="1:12" x14ac:dyDescent="0.25">
      <c r="A46" s="95" t="s">
        <v>40</v>
      </c>
      <c r="B46" s="38">
        <v>665.15</v>
      </c>
      <c r="C46" s="102">
        <v>-3.08</v>
      </c>
      <c r="D46" s="44">
        <v>4700</v>
      </c>
      <c r="E46" s="45">
        <v>14.04</v>
      </c>
      <c r="F46" s="58">
        <v>4.47</v>
      </c>
      <c r="G46" s="63">
        <v>124266.13</v>
      </c>
      <c r="H46" s="105">
        <f t="shared" si="2"/>
        <v>-4.5584415584415581</v>
      </c>
      <c r="I46" s="27" t="str">
        <f t="shared" si="8"/>
        <v/>
      </c>
      <c r="J46" s="55" t="str">
        <f t="shared" si="3"/>
        <v>Buy</v>
      </c>
      <c r="K46" s="27" t="str">
        <f t="shared" si="9"/>
        <v>Buy</v>
      </c>
      <c r="L46" s="25" t="str">
        <f t="shared" si="4"/>
        <v/>
      </c>
    </row>
    <row r="47" spans="1:12" x14ac:dyDescent="0.25">
      <c r="A47" s="95" t="s">
        <v>41</v>
      </c>
      <c r="B47" s="38">
        <v>1506.5</v>
      </c>
      <c r="C47" s="102">
        <v>2</v>
      </c>
      <c r="D47" s="44">
        <v>7260</v>
      </c>
      <c r="E47" s="45">
        <v>20.59</v>
      </c>
      <c r="F47" s="58">
        <v>2.2400000000000002</v>
      </c>
      <c r="G47" s="63">
        <v>4637.3500000000004</v>
      </c>
      <c r="H47" s="105">
        <f t="shared" si="2"/>
        <v>10.295</v>
      </c>
      <c r="I47" s="27" t="str">
        <f t="shared" si="8"/>
        <v/>
      </c>
      <c r="J47" s="55" t="str">
        <f t="shared" si="3"/>
        <v/>
      </c>
      <c r="K47" s="27" t="str">
        <f t="shared" si="9"/>
        <v/>
      </c>
      <c r="L47" s="24" t="str">
        <f t="shared" si="4"/>
        <v/>
      </c>
    </row>
    <row r="48" spans="1:12" x14ac:dyDescent="0.25">
      <c r="A48" s="95" t="s">
        <v>42</v>
      </c>
      <c r="B48" s="38">
        <v>2321</v>
      </c>
      <c r="C48" s="102">
        <v>-2.0699999999999998</v>
      </c>
      <c r="D48" s="44">
        <v>9620</v>
      </c>
      <c r="E48" s="45">
        <v>24.03</v>
      </c>
      <c r="F48" s="58">
        <v>5.04</v>
      </c>
      <c r="G48" s="63">
        <v>22290.83</v>
      </c>
      <c r="H48" s="105">
        <f t="shared" si="2"/>
        <v>-11.608695652173914</v>
      </c>
      <c r="I48" s="27" t="str">
        <f t="shared" si="8"/>
        <v/>
      </c>
      <c r="J48" s="55" t="str">
        <f t="shared" si="3"/>
        <v>Buy</v>
      </c>
      <c r="K48" s="27" t="str">
        <f t="shared" si="9"/>
        <v>Buy</v>
      </c>
      <c r="L48" s="25" t="str">
        <f t="shared" si="4"/>
        <v/>
      </c>
    </row>
    <row r="49" spans="1:12" x14ac:dyDescent="0.25">
      <c r="A49" s="95" t="s">
        <v>43</v>
      </c>
      <c r="B49" s="40">
        <v>2006</v>
      </c>
      <c r="C49" s="102">
        <v>7.68</v>
      </c>
      <c r="D49" s="44">
        <v>18950</v>
      </c>
      <c r="E49" s="45">
        <v>10.47</v>
      </c>
      <c r="F49" s="58">
        <v>2.16</v>
      </c>
      <c r="G49" s="63">
        <v>5141.6400000000003</v>
      </c>
      <c r="H49" s="105">
        <f t="shared" si="2"/>
        <v>1.3632812500000002</v>
      </c>
      <c r="I49" s="27" t="str">
        <f t="shared" si="8"/>
        <v>Buy</v>
      </c>
      <c r="J49" s="55" t="str">
        <f t="shared" si="3"/>
        <v/>
      </c>
      <c r="K49" s="27" t="str">
        <f t="shared" si="9"/>
        <v/>
      </c>
      <c r="L49" s="25" t="str">
        <f t="shared" si="4"/>
        <v/>
      </c>
    </row>
    <row r="50" spans="1:12" x14ac:dyDescent="0.25">
      <c r="A50" s="95" t="s">
        <v>106</v>
      </c>
      <c r="B50" s="38">
        <v>399.35</v>
      </c>
      <c r="C50" s="102">
        <v>10.07</v>
      </c>
      <c r="D50" s="44">
        <v>-5100</v>
      </c>
      <c r="E50" s="45" t="s">
        <v>101</v>
      </c>
      <c r="F50" s="58">
        <v>0</v>
      </c>
      <c r="G50" s="63">
        <v>8015.95</v>
      </c>
      <c r="H50" s="105" t="e">
        <f t="shared" si="2"/>
        <v>#VALUE!</v>
      </c>
      <c r="I50" s="27" t="str">
        <f t="shared" si="8"/>
        <v/>
      </c>
      <c r="J50" s="55" t="str">
        <f t="shared" si="3"/>
        <v/>
      </c>
      <c r="K50" s="27" t="str">
        <f t="shared" si="9"/>
        <v/>
      </c>
      <c r="L50" s="24" t="str">
        <f t="shared" si="4"/>
        <v/>
      </c>
    </row>
    <row r="51" spans="1:12" x14ac:dyDescent="0.25">
      <c r="A51" s="95" t="s">
        <v>44</v>
      </c>
      <c r="B51" s="38">
        <v>3076</v>
      </c>
      <c r="C51" s="102">
        <v>0.16</v>
      </c>
      <c r="D51" s="44">
        <v>10820</v>
      </c>
      <c r="E51" s="45">
        <v>28.2</v>
      </c>
      <c r="F51" s="58">
        <v>1.41</v>
      </c>
      <c r="G51" s="63">
        <v>4923.8999999999996</v>
      </c>
      <c r="H51" s="105">
        <f t="shared" si="2"/>
        <v>176.25</v>
      </c>
      <c r="I51" s="27" t="str">
        <f t="shared" si="8"/>
        <v/>
      </c>
      <c r="J51" s="55" t="str">
        <f t="shared" si="3"/>
        <v/>
      </c>
      <c r="K51" s="27" t="str">
        <f t="shared" si="9"/>
        <v/>
      </c>
      <c r="L51" s="24" t="str">
        <f t="shared" si="4"/>
        <v/>
      </c>
    </row>
    <row r="52" spans="1:12" x14ac:dyDescent="0.25">
      <c r="A52" s="95" t="s">
        <v>45</v>
      </c>
      <c r="B52" s="38">
        <v>191.05</v>
      </c>
      <c r="C52" s="102">
        <v>4.34</v>
      </c>
      <c r="D52" s="45">
        <v>690</v>
      </c>
      <c r="E52" s="45">
        <v>27.55</v>
      </c>
      <c r="F52" s="58">
        <v>1.53</v>
      </c>
      <c r="G52" s="63">
        <v>7652.3</v>
      </c>
      <c r="H52" s="105">
        <f t="shared" si="2"/>
        <v>6.3479262672811068</v>
      </c>
      <c r="I52" s="27" t="str">
        <f t="shared" si="8"/>
        <v/>
      </c>
      <c r="J52" s="55" t="str">
        <f t="shared" si="3"/>
        <v/>
      </c>
      <c r="K52" s="27" t="str">
        <f t="shared" si="9"/>
        <v/>
      </c>
      <c r="L52" s="24" t="str">
        <f t="shared" si="4"/>
        <v/>
      </c>
    </row>
    <row r="53" spans="1:12" x14ac:dyDescent="0.25">
      <c r="A53" s="95" t="s">
        <v>46</v>
      </c>
      <c r="B53" s="38">
        <v>3212</v>
      </c>
      <c r="C53" s="102">
        <v>-1.71</v>
      </c>
      <c r="D53" s="44">
        <v>13460</v>
      </c>
      <c r="E53" s="45">
        <v>23.91</v>
      </c>
      <c r="F53" s="58">
        <v>1.82</v>
      </c>
      <c r="G53" s="63">
        <v>6595.28</v>
      </c>
      <c r="H53" s="105">
        <f t="shared" si="2"/>
        <v>-13.982456140350877</v>
      </c>
      <c r="I53" s="27" t="str">
        <f t="shared" si="8"/>
        <v/>
      </c>
      <c r="J53" s="55" t="str">
        <f t="shared" si="3"/>
        <v>Buy</v>
      </c>
      <c r="K53" s="27" t="str">
        <f t="shared" si="9"/>
        <v/>
      </c>
      <c r="L53" s="24" t="str">
        <f t="shared" si="4"/>
        <v/>
      </c>
    </row>
    <row r="54" spans="1:12" x14ac:dyDescent="0.25">
      <c r="A54" s="95" t="s">
        <v>47</v>
      </c>
      <c r="B54" s="38">
        <v>388</v>
      </c>
      <c r="C54" s="102">
        <v>1.04</v>
      </c>
      <c r="D54" s="44">
        <v>2410</v>
      </c>
      <c r="E54" s="45">
        <v>15.93</v>
      </c>
      <c r="F54" s="58">
        <v>2.4700000000000002</v>
      </c>
      <c r="G54" s="63">
        <v>9109.74</v>
      </c>
      <c r="H54" s="105">
        <f t="shared" si="2"/>
        <v>15.317307692307692</v>
      </c>
      <c r="I54" s="27" t="str">
        <f t="shared" si="8"/>
        <v/>
      </c>
      <c r="J54" s="55" t="str">
        <f t="shared" si="3"/>
        <v/>
      </c>
      <c r="K54" s="27" t="str">
        <f t="shared" si="9"/>
        <v/>
      </c>
      <c r="L54" s="24" t="str">
        <f t="shared" si="4"/>
        <v/>
      </c>
    </row>
    <row r="55" spans="1:12" x14ac:dyDescent="0.25">
      <c r="A55" s="95" t="s">
        <v>48</v>
      </c>
      <c r="B55" s="38">
        <v>963</v>
      </c>
      <c r="C55" s="102">
        <v>1.32</v>
      </c>
      <c r="D55" s="44">
        <v>6840</v>
      </c>
      <c r="E55" s="45">
        <v>14</v>
      </c>
      <c r="F55" s="58">
        <v>3.14</v>
      </c>
      <c r="G55" s="63">
        <v>7532.64</v>
      </c>
      <c r="H55" s="105">
        <f t="shared" si="2"/>
        <v>10.606060606060606</v>
      </c>
      <c r="I55" s="27" t="str">
        <f t="shared" si="8"/>
        <v/>
      </c>
      <c r="J55" s="55" t="str">
        <f t="shared" si="3"/>
        <v/>
      </c>
      <c r="K55" s="27" t="str">
        <f t="shared" si="9"/>
        <v/>
      </c>
      <c r="L55" s="24" t="str">
        <f t="shared" si="4"/>
        <v/>
      </c>
    </row>
    <row r="56" spans="1:12" x14ac:dyDescent="0.25">
      <c r="A56" s="95" t="s">
        <v>49</v>
      </c>
      <c r="B56" s="38">
        <v>222.1</v>
      </c>
      <c r="C56" s="102">
        <v>4.76</v>
      </c>
      <c r="D56" s="44">
        <v>1390</v>
      </c>
      <c r="E56" s="45">
        <v>15.93</v>
      </c>
      <c r="F56" s="58">
        <v>3.65</v>
      </c>
      <c r="G56" s="63">
        <v>13099.66</v>
      </c>
      <c r="H56" s="105">
        <f t="shared" si="2"/>
        <v>3.346638655462185</v>
      </c>
      <c r="I56" s="27" t="str">
        <f t="shared" si="8"/>
        <v/>
      </c>
      <c r="J56" s="55" t="str">
        <f t="shared" si="3"/>
        <v/>
      </c>
      <c r="K56" s="27" t="str">
        <f t="shared" si="9"/>
        <v/>
      </c>
      <c r="L56" s="24" t="str">
        <f t="shared" si="4"/>
        <v/>
      </c>
    </row>
    <row r="57" spans="1:12" x14ac:dyDescent="0.25">
      <c r="A57" s="95" t="s">
        <v>130</v>
      </c>
      <c r="B57" s="38">
        <v>78.2</v>
      </c>
      <c r="C57" s="102">
        <v>4.8</v>
      </c>
      <c r="D57" s="45">
        <v>-200</v>
      </c>
      <c r="E57" s="45" t="s">
        <v>101</v>
      </c>
      <c r="F57" s="58">
        <v>0</v>
      </c>
      <c r="G57" s="63">
        <v>55938.2</v>
      </c>
      <c r="H57" s="105" t="e">
        <f t="shared" si="2"/>
        <v>#VALUE!</v>
      </c>
      <c r="I57" s="27" t="str">
        <f t="shared" si="8"/>
        <v/>
      </c>
      <c r="J57" s="55" t="str">
        <f t="shared" si="3"/>
        <v/>
      </c>
      <c r="K57" s="27" t="str">
        <f t="shared" si="9"/>
        <v/>
      </c>
      <c r="L57" s="24" t="str">
        <f t="shared" si="4"/>
        <v/>
      </c>
    </row>
    <row r="58" spans="1:12" x14ac:dyDescent="0.25">
      <c r="A58" s="95" t="s">
        <v>107</v>
      </c>
      <c r="B58" s="38">
        <v>1710.5</v>
      </c>
      <c r="C58" s="102">
        <v>6.57</v>
      </c>
      <c r="D58" s="44">
        <v>8040</v>
      </c>
      <c r="E58" s="45">
        <v>21.27</v>
      </c>
      <c r="F58" s="58">
        <v>1.75</v>
      </c>
      <c r="G58" s="63">
        <v>4635.96</v>
      </c>
      <c r="H58" s="105">
        <f t="shared" si="2"/>
        <v>3.237442922374429</v>
      </c>
      <c r="I58" s="27" t="str">
        <f t="shared" si="8"/>
        <v/>
      </c>
      <c r="J58" s="55" t="str">
        <f t="shared" si="3"/>
        <v/>
      </c>
      <c r="K58" s="27" t="str">
        <f t="shared" si="9"/>
        <v/>
      </c>
      <c r="L58" s="24" t="str">
        <f t="shared" si="4"/>
        <v/>
      </c>
    </row>
    <row r="59" spans="1:12" x14ac:dyDescent="0.25">
      <c r="A59" s="95" t="s">
        <v>50</v>
      </c>
      <c r="B59" s="38">
        <v>451.1</v>
      </c>
      <c r="C59" s="102">
        <v>-9.0500000000000007</v>
      </c>
      <c r="D59" s="44">
        <v>2920</v>
      </c>
      <c r="E59" s="45">
        <v>15.34</v>
      </c>
      <c r="F59" s="58">
        <v>3.8</v>
      </c>
      <c r="G59" s="63">
        <v>7239.07</v>
      </c>
      <c r="H59" s="105">
        <f t="shared" si="2"/>
        <v>-1.695027624309392</v>
      </c>
      <c r="I59" s="27" t="str">
        <f t="shared" si="8"/>
        <v/>
      </c>
      <c r="J59" s="55" t="str">
        <f t="shared" si="3"/>
        <v>Buy</v>
      </c>
      <c r="K59" s="27" t="str">
        <f t="shared" si="9"/>
        <v/>
      </c>
      <c r="L59" s="24" t="str">
        <f t="shared" si="4"/>
        <v/>
      </c>
    </row>
    <row r="60" spans="1:12" x14ac:dyDescent="0.25">
      <c r="A60" s="95" t="s">
        <v>51</v>
      </c>
      <c r="B60" s="38">
        <v>521.75</v>
      </c>
      <c r="C60" s="102">
        <v>4.7699999999999996</v>
      </c>
      <c r="D60" s="44">
        <v>3110</v>
      </c>
      <c r="E60" s="45">
        <v>16.739999999999998</v>
      </c>
      <c r="F60" s="58">
        <v>2.33</v>
      </c>
      <c r="G60" s="63">
        <v>4145.79</v>
      </c>
      <c r="H60" s="105">
        <f t="shared" si="2"/>
        <v>3.5094339622641511</v>
      </c>
      <c r="I60" s="27" t="str">
        <f t="shared" si="8"/>
        <v/>
      </c>
      <c r="J60" s="55" t="str">
        <f t="shared" si="3"/>
        <v/>
      </c>
      <c r="K60" s="27" t="str">
        <f t="shared" si="9"/>
        <v/>
      </c>
      <c r="L60" s="24" t="str">
        <f t="shared" si="4"/>
        <v/>
      </c>
    </row>
    <row r="61" spans="1:12" x14ac:dyDescent="0.25">
      <c r="A61" s="95" t="s">
        <v>108</v>
      </c>
      <c r="B61" s="38">
        <v>295.14999999999998</v>
      </c>
      <c r="C61" s="102">
        <v>0.43</v>
      </c>
      <c r="D61" s="45">
        <v>440</v>
      </c>
      <c r="E61" s="45">
        <v>66.61</v>
      </c>
      <c r="F61" s="58">
        <v>2.64</v>
      </c>
      <c r="G61" s="63">
        <v>3712.48</v>
      </c>
      <c r="H61" s="105">
        <f t="shared" si="2"/>
        <v>154.90697674418604</v>
      </c>
      <c r="I61" s="27" t="str">
        <f t="shared" si="8"/>
        <v/>
      </c>
      <c r="J61" s="55" t="str">
        <f t="shared" si="3"/>
        <v/>
      </c>
      <c r="K61" s="27" t="str">
        <f t="shared" si="9"/>
        <v/>
      </c>
      <c r="L61" s="24" t="str">
        <f t="shared" si="4"/>
        <v/>
      </c>
    </row>
    <row r="62" spans="1:12" x14ac:dyDescent="0.25">
      <c r="A62" s="95" t="s">
        <v>109</v>
      </c>
      <c r="B62" s="41">
        <v>993.5</v>
      </c>
      <c r="C62" s="102">
        <v>-0.25</v>
      </c>
      <c r="D62" s="44">
        <v>5050</v>
      </c>
      <c r="E62" s="45">
        <v>19.84</v>
      </c>
      <c r="F62" s="58">
        <v>2.35</v>
      </c>
      <c r="G62" s="63">
        <v>3675.55</v>
      </c>
      <c r="H62" s="105">
        <f t="shared" si="2"/>
        <v>-79.36</v>
      </c>
      <c r="I62" s="27" t="str">
        <f t="shared" si="8"/>
        <v/>
      </c>
      <c r="J62" s="55" t="str">
        <f t="shared" si="3"/>
        <v>Buy</v>
      </c>
      <c r="K62" s="27" t="str">
        <f t="shared" si="9"/>
        <v/>
      </c>
      <c r="L62" s="24" t="str">
        <f t="shared" si="4"/>
        <v/>
      </c>
    </row>
    <row r="63" spans="1:12" x14ac:dyDescent="0.25">
      <c r="A63" s="95" t="s">
        <v>52</v>
      </c>
      <c r="B63" s="38">
        <v>264.89999999999998</v>
      </c>
      <c r="C63" s="102">
        <v>-0.82</v>
      </c>
      <c r="D63" s="44">
        <v>2665</v>
      </c>
      <c r="E63" s="45">
        <v>9.86</v>
      </c>
      <c r="F63" s="58">
        <v>4.62</v>
      </c>
      <c r="G63" s="63">
        <v>6136.35</v>
      </c>
      <c r="H63" s="105">
        <f t="shared" si="2"/>
        <v>-12.02439024390244</v>
      </c>
      <c r="I63" s="27" t="str">
        <f t="shared" si="8"/>
        <v>Buy</v>
      </c>
      <c r="J63" s="55" t="str">
        <f t="shared" si="3"/>
        <v>Buy</v>
      </c>
      <c r="K63" s="27" t="str">
        <f t="shared" si="9"/>
        <v>Buy</v>
      </c>
      <c r="L63" s="24" t="str">
        <f t="shared" si="4"/>
        <v>Buy</v>
      </c>
    </row>
    <row r="64" spans="1:12" x14ac:dyDescent="0.25">
      <c r="A64" s="95" t="s">
        <v>53</v>
      </c>
      <c r="B64" s="38">
        <v>785.5</v>
      </c>
      <c r="C64" s="102">
        <v>0.71</v>
      </c>
      <c r="D64" s="44">
        <v>6260</v>
      </c>
      <c r="E64" s="45">
        <v>12.6</v>
      </c>
      <c r="F64" s="58">
        <v>5.18</v>
      </c>
      <c r="G64" s="63">
        <v>29413.200000000001</v>
      </c>
      <c r="H64" s="105">
        <f t="shared" si="2"/>
        <v>17.746478873239436</v>
      </c>
      <c r="I64" s="27" t="str">
        <f t="shared" si="8"/>
        <v/>
      </c>
      <c r="J64" s="55" t="str">
        <f t="shared" si="3"/>
        <v/>
      </c>
      <c r="K64" s="27" t="str">
        <f t="shared" si="9"/>
        <v>Buy</v>
      </c>
      <c r="L64" s="24" t="str">
        <f t="shared" si="4"/>
        <v/>
      </c>
    </row>
    <row r="65" spans="1:12" x14ac:dyDescent="0.25">
      <c r="A65" s="95" t="s">
        <v>54</v>
      </c>
      <c r="B65" s="38">
        <v>5435</v>
      </c>
      <c r="C65" s="102">
        <v>0.28000000000000003</v>
      </c>
      <c r="D65" s="44">
        <v>32010</v>
      </c>
      <c r="E65" s="45">
        <v>17.010000000000002</v>
      </c>
      <c r="F65" s="58">
        <v>2.02</v>
      </c>
      <c r="G65" s="63">
        <v>8441.51</v>
      </c>
      <c r="H65" s="105">
        <f t="shared" si="2"/>
        <v>60.75</v>
      </c>
      <c r="I65" s="27" t="str">
        <f t="shared" si="8"/>
        <v/>
      </c>
      <c r="J65" s="55" t="str">
        <f t="shared" si="3"/>
        <v/>
      </c>
      <c r="K65" s="27" t="str">
        <f t="shared" si="9"/>
        <v/>
      </c>
      <c r="L65" s="24" t="str">
        <f t="shared" si="4"/>
        <v/>
      </c>
    </row>
    <row r="66" spans="1:12" x14ac:dyDescent="0.25">
      <c r="A66" s="95" t="s">
        <v>55</v>
      </c>
      <c r="B66" s="38">
        <v>191.85</v>
      </c>
      <c r="C66" s="102">
        <v>-3.2</v>
      </c>
      <c r="D66" s="44">
        <v>2490</v>
      </c>
      <c r="E66" s="45">
        <v>7.67</v>
      </c>
      <c r="F66" s="58">
        <v>3.85</v>
      </c>
      <c r="G66" s="63">
        <v>9348.75</v>
      </c>
      <c r="H66" s="105">
        <f t="shared" si="2"/>
        <v>-2.3968749999999996</v>
      </c>
      <c r="I66" s="27" t="str">
        <f t="shared" si="8"/>
        <v>Buy</v>
      </c>
      <c r="J66" s="55" t="str">
        <f t="shared" si="3"/>
        <v>Buy</v>
      </c>
      <c r="K66" s="27" t="str">
        <f t="shared" si="9"/>
        <v/>
      </c>
      <c r="L66" s="24" t="str">
        <f t="shared" si="4"/>
        <v/>
      </c>
    </row>
    <row r="67" spans="1:12" x14ac:dyDescent="0.25">
      <c r="A67" s="95" t="s">
        <v>56</v>
      </c>
      <c r="B67" s="38">
        <v>1334</v>
      </c>
      <c r="C67" s="102">
        <v>-0.37</v>
      </c>
      <c r="D67" s="44">
        <v>4050</v>
      </c>
      <c r="E67" s="45">
        <v>32.58</v>
      </c>
      <c r="F67" s="58">
        <v>3.49</v>
      </c>
      <c r="G67" s="63">
        <v>10800.19</v>
      </c>
      <c r="H67" s="105">
        <f t="shared" si="2"/>
        <v>-88.054054054054049</v>
      </c>
      <c r="I67" s="27" t="str">
        <f t="shared" si="8"/>
        <v/>
      </c>
      <c r="J67" s="55" t="str">
        <f t="shared" si="3"/>
        <v>Buy</v>
      </c>
      <c r="K67" s="27" t="str">
        <f t="shared" si="9"/>
        <v/>
      </c>
      <c r="L67" s="24" t="str">
        <f t="shared" si="4"/>
        <v/>
      </c>
    </row>
    <row r="68" spans="1:12" x14ac:dyDescent="0.25">
      <c r="A68" s="95" t="s">
        <v>110</v>
      </c>
      <c r="B68" s="38">
        <v>1209</v>
      </c>
      <c r="C68" s="102">
        <v>-0.98</v>
      </c>
      <c r="D68" s="44">
        <v>5630</v>
      </c>
      <c r="E68" s="45">
        <v>21.35</v>
      </c>
      <c r="F68" s="58">
        <v>0</v>
      </c>
      <c r="G68" s="63">
        <v>3661.89</v>
      </c>
      <c r="H68" s="105">
        <f t="shared" si="2"/>
        <v>-21.785714285714288</v>
      </c>
      <c r="I68" s="27" t="str">
        <f t="shared" si="8"/>
        <v/>
      </c>
      <c r="J68" s="55" t="str">
        <f t="shared" si="3"/>
        <v>Buy</v>
      </c>
      <c r="K68" s="27" t="str">
        <f t="shared" si="9"/>
        <v/>
      </c>
      <c r="L68" s="24" t="str">
        <f t="shared" si="4"/>
        <v/>
      </c>
    </row>
    <row r="69" spans="1:12" x14ac:dyDescent="0.25">
      <c r="A69" s="95" t="s">
        <v>111</v>
      </c>
      <c r="B69" s="38">
        <v>1192.5</v>
      </c>
      <c r="C69" s="102">
        <v>0.13</v>
      </c>
      <c r="D69" s="44">
        <v>18555</v>
      </c>
      <c r="E69" s="45">
        <v>6.37</v>
      </c>
      <c r="F69" s="58">
        <v>3.52</v>
      </c>
      <c r="G69" s="63">
        <v>4090.42</v>
      </c>
      <c r="H69" s="105">
        <f t="shared" si="2"/>
        <v>49</v>
      </c>
      <c r="I69" s="27" t="str">
        <f t="shared" si="8"/>
        <v>Buy</v>
      </c>
      <c r="J69" s="55" t="str">
        <f t="shared" si="3"/>
        <v/>
      </c>
      <c r="K69" s="27" t="str">
        <f t="shared" si="9"/>
        <v/>
      </c>
      <c r="L69" s="24" t="str">
        <f t="shared" si="4"/>
        <v/>
      </c>
    </row>
    <row r="70" spans="1:12" x14ac:dyDescent="0.25">
      <c r="A70" s="95" t="s">
        <v>57</v>
      </c>
      <c r="B70" s="38">
        <v>1345</v>
      </c>
      <c r="C70" s="102">
        <v>6.32</v>
      </c>
      <c r="D70" s="44">
        <v>8650</v>
      </c>
      <c r="E70" s="45">
        <v>15.33</v>
      </c>
      <c r="F70" s="58">
        <v>2.2999999999999998</v>
      </c>
      <c r="G70" s="63">
        <v>33936.57</v>
      </c>
      <c r="H70" s="105">
        <f t="shared" si="2"/>
        <v>2.4256329113924049</v>
      </c>
      <c r="I70" s="27" t="str">
        <f t="shared" si="8"/>
        <v/>
      </c>
      <c r="J70" s="55" t="str">
        <f t="shared" si="3"/>
        <v/>
      </c>
      <c r="K70" s="27" t="str">
        <f t="shared" si="9"/>
        <v/>
      </c>
      <c r="L70" s="24" t="str">
        <f t="shared" ref="L70:L105" si="10">IF(AND(I70="Buy",J70="Buy",K70="Buy"),"Buy","")</f>
        <v/>
      </c>
    </row>
    <row r="71" spans="1:12" x14ac:dyDescent="0.25">
      <c r="A71" s="95" t="s">
        <v>112</v>
      </c>
      <c r="B71" s="38">
        <v>3798.5</v>
      </c>
      <c r="C71" s="102">
        <v>-12.92</v>
      </c>
      <c r="D71" s="44">
        <v>47000</v>
      </c>
      <c r="E71" s="45">
        <v>7.99</v>
      </c>
      <c r="F71" s="58">
        <v>0.85</v>
      </c>
      <c r="G71" s="63">
        <v>3461.86</v>
      </c>
      <c r="H71" s="105">
        <f t="shared" si="2"/>
        <v>-0.61842105263157898</v>
      </c>
      <c r="I71" s="27" t="str">
        <f t="shared" ref="I71:I105" si="11">IF(E71="n/a","",IF(E71&lt;$C$2,"Buy",""))</f>
        <v>Buy</v>
      </c>
      <c r="J71" s="55" t="str">
        <f t="shared" si="3"/>
        <v>Buy</v>
      </c>
      <c r="K71" s="27" t="str">
        <f t="shared" ref="K71:K105" si="12">IF(F71="n/a","",IF(F71&gt;$C$4,"Buy",""))</f>
        <v/>
      </c>
      <c r="L71" s="24" t="str">
        <f t="shared" si="10"/>
        <v/>
      </c>
    </row>
    <row r="72" spans="1:12" x14ac:dyDescent="0.25">
      <c r="A72" s="95" t="s">
        <v>58</v>
      </c>
      <c r="B72" s="38">
        <v>4795.5</v>
      </c>
      <c r="C72" s="102">
        <v>-1.06</v>
      </c>
      <c r="D72" s="44">
        <v>25250</v>
      </c>
      <c r="E72" s="45">
        <v>18.77</v>
      </c>
      <c r="F72" s="58">
        <v>2.91</v>
      </c>
      <c r="G72" s="63">
        <v>34122.15</v>
      </c>
      <c r="H72" s="105">
        <f t="shared" ref="H72:H107" si="13">E72/(C72)</f>
        <v>-17.70754716981132</v>
      </c>
      <c r="I72" s="27" t="str">
        <f t="shared" si="11"/>
        <v/>
      </c>
      <c r="J72" s="55" t="str">
        <f t="shared" ref="J72:J107" si="14">IF(E72="n/a","",IF(H72&lt;$C$3,"Buy",""))</f>
        <v>Buy</v>
      </c>
      <c r="K72" s="27" t="str">
        <f t="shared" si="12"/>
        <v/>
      </c>
      <c r="L72" s="24" t="str">
        <f t="shared" si="10"/>
        <v/>
      </c>
    </row>
    <row r="73" spans="1:12" x14ac:dyDescent="0.25">
      <c r="A73" s="95" t="s">
        <v>59</v>
      </c>
      <c r="B73" s="38">
        <v>897</v>
      </c>
      <c r="C73" s="102">
        <v>1.64</v>
      </c>
      <c r="D73" s="44">
        <v>4600</v>
      </c>
      <c r="E73" s="45">
        <v>19.23</v>
      </c>
      <c r="F73" s="58">
        <v>2.67</v>
      </c>
      <c r="G73" s="63">
        <v>10326.870000000001</v>
      </c>
      <c r="H73" s="105">
        <f t="shared" si="13"/>
        <v>11.725609756097562</v>
      </c>
      <c r="I73" s="27" t="str">
        <f t="shared" si="11"/>
        <v/>
      </c>
      <c r="J73" s="55" t="str">
        <f t="shared" si="14"/>
        <v/>
      </c>
      <c r="K73" s="27" t="str">
        <f t="shared" si="12"/>
        <v/>
      </c>
      <c r="L73" s="24" t="str">
        <f t="shared" si="10"/>
        <v/>
      </c>
    </row>
    <row r="74" spans="1:12" x14ac:dyDescent="0.25">
      <c r="A74" s="95" t="s">
        <v>113</v>
      </c>
      <c r="B74" s="38">
        <v>352.05</v>
      </c>
      <c r="C74" s="102">
        <v>2.0099999999999998</v>
      </c>
      <c r="D74" s="45">
        <v>-517</v>
      </c>
      <c r="E74" s="45" t="s">
        <v>101</v>
      </c>
      <c r="F74" s="58">
        <v>6.11</v>
      </c>
      <c r="G74" s="63">
        <v>4905.95</v>
      </c>
      <c r="H74" s="105" t="e">
        <f t="shared" si="13"/>
        <v>#VALUE!</v>
      </c>
      <c r="I74" s="27" t="str">
        <f t="shared" si="11"/>
        <v/>
      </c>
      <c r="J74" s="55" t="str">
        <f t="shared" si="14"/>
        <v/>
      </c>
      <c r="K74" s="27" t="str">
        <f t="shared" si="12"/>
        <v>Buy</v>
      </c>
      <c r="L74" s="25" t="str">
        <f t="shared" si="10"/>
        <v/>
      </c>
    </row>
    <row r="75" spans="1:12" x14ac:dyDescent="0.25">
      <c r="A75" s="95" t="s">
        <v>114</v>
      </c>
      <c r="B75" s="38">
        <v>516.75</v>
      </c>
      <c r="C75" s="102">
        <v>6.11</v>
      </c>
      <c r="D75" s="44">
        <v>2460</v>
      </c>
      <c r="E75" s="45">
        <v>20.88</v>
      </c>
      <c r="F75" s="58">
        <v>3.1</v>
      </c>
      <c r="G75" s="63">
        <v>4067.88</v>
      </c>
      <c r="H75" s="105">
        <f t="shared" si="13"/>
        <v>3.4173486088379703</v>
      </c>
      <c r="I75" s="27" t="str">
        <f t="shared" si="11"/>
        <v/>
      </c>
      <c r="J75" s="55" t="str">
        <f t="shared" si="14"/>
        <v/>
      </c>
      <c r="K75" s="27" t="str">
        <f t="shared" si="12"/>
        <v/>
      </c>
      <c r="L75" s="24" t="str">
        <f t="shared" si="10"/>
        <v/>
      </c>
    </row>
    <row r="76" spans="1:12" x14ac:dyDescent="0.25">
      <c r="A76" s="95" t="s">
        <v>60</v>
      </c>
      <c r="B76" s="38">
        <v>3309.75</v>
      </c>
      <c r="C76" s="102">
        <v>3.62</v>
      </c>
      <c r="D76" s="44">
        <v>-16170</v>
      </c>
      <c r="E76" s="45" t="s">
        <v>101</v>
      </c>
      <c r="F76" s="58">
        <v>3.45</v>
      </c>
      <c r="G76" s="63">
        <v>46928.68</v>
      </c>
      <c r="H76" s="105" t="e">
        <f t="shared" si="13"/>
        <v>#VALUE!</v>
      </c>
      <c r="I76" s="27" t="str">
        <f t="shared" si="11"/>
        <v/>
      </c>
      <c r="J76" s="55" t="str">
        <f t="shared" si="14"/>
        <v/>
      </c>
      <c r="K76" s="27" t="str">
        <f t="shared" si="12"/>
        <v/>
      </c>
      <c r="L76" s="24" t="str">
        <f t="shared" si="10"/>
        <v/>
      </c>
    </row>
    <row r="77" spans="1:12" x14ac:dyDescent="0.25">
      <c r="A77" s="95" t="s">
        <v>115</v>
      </c>
      <c r="B77" s="38">
        <v>1254</v>
      </c>
      <c r="C77" s="102">
        <v>1.29</v>
      </c>
      <c r="D77" s="44">
        <v>12323</v>
      </c>
      <c r="E77" s="45">
        <v>10.16</v>
      </c>
      <c r="F77" s="58">
        <v>1.64</v>
      </c>
      <c r="G77" s="63">
        <v>23531.89</v>
      </c>
      <c r="H77" s="105">
        <f t="shared" si="13"/>
        <v>7.8759689922480618</v>
      </c>
      <c r="I77" s="27" t="str">
        <f t="shared" si="11"/>
        <v>Buy</v>
      </c>
      <c r="J77" s="55" t="str">
        <f t="shared" si="14"/>
        <v/>
      </c>
      <c r="K77" s="27" t="str">
        <f t="shared" si="12"/>
        <v/>
      </c>
      <c r="L77" s="24" t="str">
        <f t="shared" si="10"/>
        <v/>
      </c>
    </row>
    <row r="78" spans="1:12" x14ac:dyDescent="0.25">
      <c r="A78" s="95" t="s">
        <v>116</v>
      </c>
      <c r="B78" s="38">
        <v>332.55</v>
      </c>
      <c r="C78" s="102">
        <v>0.74</v>
      </c>
      <c r="D78" s="44">
        <v>-5430</v>
      </c>
      <c r="E78" s="45" t="s">
        <v>101</v>
      </c>
      <c r="F78" s="58">
        <v>0</v>
      </c>
      <c r="G78" s="63">
        <v>20402.34</v>
      </c>
      <c r="H78" s="105" t="e">
        <f t="shared" si="13"/>
        <v>#VALUE!</v>
      </c>
      <c r="I78" s="27" t="str">
        <f t="shared" si="11"/>
        <v/>
      </c>
      <c r="J78" s="55" t="str">
        <f t="shared" si="14"/>
        <v/>
      </c>
      <c r="K78" s="27" t="str">
        <f t="shared" si="12"/>
        <v/>
      </c>
      <c r="L78" s="24" t="str">
        <f t="shared" si="10"/>
        <v/>
      </c>
    </row>
    <row r="79" spans="1:12" x14ac:dyDescent="0.25">
      <c r="A79" s="95" t="s">
        <v>117</v>
      </c>
      <c r="B79" s="38">
        <v>2158.5</v>
      </c>
      <c r="C79" s="102">
        <v>2.54</v>
      </c>
      <c r="D79" s="44">
        <v>42500</v>
      </c>
      <c r="E79" s="45">
        <v>5.07</v>
      </c>
      <c r="F79" s="58">
        <v>5.24</v>
      </c>
      <c r="G79" s="63">
        <v>83151.259999999995</v>
      </c>
      <c r="H79" s="105">
        <f>E79/(C79)</f>
        <v>1.9960629921259843</v>
      </c>
      <c r="I79" s="27" t="str">
        <f t="shared" si="11"/>
        <v>Buy</v>
      </c>
      <c r="J79" s="55" t="str">
        <f t="shared" si="14"/>
        <v/>
      </c>
      <c r="K79" s="27" t="str">
        <f t="shared" si="12"/>
        <v>Buy</v>
      </c>
      <c r="L79" s="25" t="str">
        <f t="shared" si="10"/>
        <v/>
      </c>
    </row>
    <row r="80" spans="1:12" x14ac:dyDescent="0.25">
      <c r="A80" s="95" t="s">
        <v>117</v>
      </c>
      <c r="B80" s="38">
        <v>2266</v>
      </c>
      <c r="C80" s="102">
        <v>2.84</v>
      </c>
      <c r="D80" s="44">
        <v>42500</v>
      </c>
      <c r="E80" s="45">
        <v>5.32</v>
      </c>
      <c r="F80" s="58">
        <v>4.99</v>
      </c>
      <c r="G80" s="63">
        <v>55898.53</v>
      </c>
      <c r="H80" s="105">
        <f t="shared" si="13"/>
        <v>1.8732394366197185</v>
      </c>
      <c r="I80" s="27" t="str">
        <f t="shared" si="11"/>
        <v>Buy</v>
      </c>
      <c r="J80" s="55" t="str">
        <f t="shared" si="14"/>
        <v/>
      </c>
      <c r="K80" s="27" t="str">
        <f t="shared" si="12"/>
        <v>Buy</v>
      </c>
      <c r="L80" s="25" t="str">
        <f t="shared" si="10"/>
        <v/>
      </c>
    </row>
    <row r="81" spans="1:12" x14ac:dyDescent="0.25">
      <c r="A81" s="95" t="s">
        <v>133</v>
      </c>
      <c r="B81" s="38">
        <v>580.5</v>
      </c>
      <c r="C81" s="102">
        <v>7.7</v>
      </c>
      <c r="D81" s="45">
        <v>0</v>
      </c>
      <c r="E81" s="45" t="s">
        <v>101</v>
      </c>
      <c r="F81" s="58">
        <v>0</v>
      </c>
      <c r="G81" s="63">
        <v>5797.5</v>
      </c>
      <c r="H81" s="105" t="e">
        <f t="shared" si="13"/>
        <v>#VALUE!</v>
      </c>
      <c r="I81" s="27" t="str">
        <f t="shared" si="11"/>
        <v/>
      </c>
      <c r="J81" s="55" t="str">
        <f t="shared" si="14"/>
        <v/>
      </c>
      <c r="K81" s="27" t="str">
        <f t="shared" si="12"/>
        <v/>
      </c>
      <c r="L81" s="61" t="str">
        <f t="shared" si="10"/>
        <v/>
      </c>
    </row>
    <row r="82" spans="1:12" x14ac:dyDescent="0.25">
      <c r="A82" s="95" t="s">
        <v>61</v>
      </c>
      <c r="B82" s="38">
        <v>92.55</v>
      </c>
      <c r="C82" s="102">
        <v>-11.52</v>
      </c>
      <c r="D82" s="44">
        <v>950</v>
      </c>
      <c r="E82" s="45">
        <v>9.7200000000000006</v>
      </c>
      <c r="F82" s="58">
        <v>6.69</v>
      </c>
      <c r="G82" s="63">
        <v>3399.08</v>
      </c>
      <c r="H82" s="105">
        <f t="shared" si="13"/>
        <v>-0.84375000000000011</v>
      </c>
      <c r="I82" s="27" t="str">
        <f t="shared" si="11"/>
        <v>Buy</v>
      </c>
      <c r="J82" s="55" t="str">
        <f t="shared" si="14"/>
        <v>Buy</v>
      </c>
      <c r="K82" s="27" t="str">
        <f t="shared" si="12"/>
        <v>Buy</v>
      </c>
      <c r="L82" s="24" t="str">
        <f t="shared" si="10"/>
        <v>Buy</v>
      </c>
    </row>
    <row r="83" spans="1:12" x14ac:dyDescent="0.25">
      <c r="A83" s="95" t="s">
        <v>62</v>
      </c>
      <c r="B83" s="38">
        <v>3042.25</v>
      </c>
      <c r="C83" s="102">
        <v>-5.46</v>
      </c>
      <c r="D83" s="44">
        <v>20590</v>
      </c>
      <c r="E83" s="45">
        <v>14.73</v>
      </c>
      <c r="F83" s="58">
        <v>2.16</v>
      </c>
      <c r="G83" s="63">
        <v>48646.79</v>
      </c>
      <c r="H83" s="105">
        <f t="shared" si="13"/>
        <v>-2.697802197802198</v>
      </c>
      <c r="I83" s="27" t="str">
        <f t="shared" si="11"/>
        <v/>
      </c>
      <c r="J83" s="55" t="str">
        <f t="shared" si="14"/>
        <v>Buy</v>
      </c>
      <c r="K83" s="27" t="str">
        <f t="shared" si="12"/>
        <v/>
      </c>
      <c r="L83" s="24" t="str">
        <f t="shared" si="10"/>
        <v/>
      </c>
    </row>
    <row r="84" spans="1:12" x14ac:dyDescent="0.25">
      <c r="A84" s="95" t="s">
        <v>118</v>
      </c>
      <c r="B84" s="38">
        <v>403.8</v>
      </c>
      <c r="C84" s="102">
        <v>16.809999999999999</v>
      </c>
      <c r="D84" s="44">
        <v>397</v>
      </c>
      <c r="E84" s="45">
        <v>101.5</v>
      </c>
      <c r="F84" s="58">
        <v>2.81</v>
      </c>
      <c r="G84" s="63">
        <v>4419.1899999999996</v>
      </c>
      <c r="H84" s="105">
        <f t="shared" si="13"/>
        <v>6.0380725758477105</v>
      </c>
      <c r="I84" s="27" t="str">
        <f t="shared" si="11"/>
        <v/>
      </c>
      <c r="J84" s="55" t="str">
        <f t="shared" si="14"/>
        <v/>
      </c>
      <c r="K84" s="27" t="str">
        <f t="shared" si="12"/>
        <v/>
      </c>
      <c r="L84" s="24" t="str">
        <f t="shared" si="10"/>
        <v/>
      </c>
    </row>
    <row r="85" spans="1:12" x14ac:dyDescent="0.25">
      <c r="A85" s="95" t="s">
        <v>63</v>
      </c>
      <c r="B85" s="38">
        <v>374.5</v>
      </c>
      <c r="C85" s="102">
        <v>-7.44</v>
      </c>
      <c r="D85" s="44">
        <v>3260</v>
      </c>
      <c r="E85" s="45">
        <v>11.44</v>
      </c>
      <c r="F85" s="58">
        <v>4.53</v>
      </c>
      <c r="G85" s="63">
        <v>7089.96</v>
      </c>
      <c r="H85" s="105">
        <f t="shared" si="13"/>
        <v>-1.5376344086021503</v>
      </c>
      <c r="I85" s="27" t="str">
        <f t="shared" si="11"/>
        <v/>
      </c>
      <c r="J85" s="55" t="str">
        <f t="shared" si="14"/>
        <v>Buy</v>
      </c>
      <c r="K85" s="27" t="str">
        <f t="shared" si="12"/>
        <v>Buy</v>
      </c>
      <c r="L85" s="24" t="str">
        <f t="shared" si="10"/>
        <v/>
      </c>
    </row>
    <row r="86" spans="1:12" x14ac:dyDescent="0.25">
      <c r="A86" s="95" t="s">
        <v>64</v>
      </c>
      <c r="B86" s="38">
        <v>2576.5</v>
      </c>
      <c r="C86" s="102">
        <v>5.55</v>
      </c>
      <c r="D86" s="44">
        <v>10470</v>
      </c>
      <c r="E86" s="45">
        <v>24.36</v>
      </c>
      <c r="F86" s="58">
        <v>1.8</v>
      </c>
      <c r="G86" s="63">
        <v>5764.7</v>
      </c>
      <c r="H86" s="105">
        <f t="shared" si="13"/>
        <v>4.3891891891891897</v>
      </c>
      <c r="I86" s="27" t="str">
        <f t="shared" si="11"/>
        <v/>
      </c>
      <c r="J86" s="55" t="str">
        <f t="shared" si="14"/>
        <v/>
      </c>
      <c r="K86" s="27" t="str">
        <f t="shared" si="12"/>
        <v/>
      </c>
      <c r="L86" s="24" t="str">
        <f t="shared" si="10"/>
        <v/>
      </c>
    </row>
    <row r="87" spans="1:12" x14ac:dyDescent="0.25">
      <c r="A87" s="95" t="s">
        <v>65</v>
      </c>
      <c r="B87" s="38">
        <v>1685</v>
      </c>
      <c r="C87" s="102">
        <v>-7.01</v>
      </c>
      <c r="D87" s="44">
        <v>9570</v>
      </c>
      <c r="E87" s="45">
        <v>17.510000000000002</v>
      </c>
      <c r="F87" s="58">
        <v>4.6399999999999997</v>
      </c>
      <c r="G87" s="63">
        <v>4003.38</v>
      </c>
      <c r="H87" s="105">
        <f t="shared" si="13"/>
        <v>-2.4978601997146934</v>
      </c>
      <c r="I87" s="27" t="str">
        <f t="shared" si="11"/>
        <v/>
      </c>
      <c r="J87" s="55" t="str">
        <f t="shared" si="14"/>
        <v>Buy</v>
      </c>
      <c r="K87" s="27" t="str">
        <f t="shared" si="12"/>
        <v>Buy</v>
      </c>
      <c r="L87" s="24" t="str">
        <f t="shared" si="10"/>
        <v/>
      </c>
    </row>
    <row r="88" spans="1:12" x14ac:dyDescent="0.25">
      <c r="A88" s="95" t="s">
        <v>119</v>
      </c>
      <c r="B88" s="38">
        <v>2848.5</v>
      </c>
      <c r="C88" s="102">
        <v>0.62</v>
      </c>
      <c r="D88" s="44">
        <v>13420</v>
      </c>
      <c r="E88" s="45">
        <v>21.05</v>
      </c>
      <c r="F88" s="58">
        <v>0.26</v>
      </c>
      <c r="G88" s="63">
        <v>16553.3</v>
      </c>
      <c r="H88" s="105">
        <f t="shared" si="13"/>
        <v>33.951612903225808</v>
      </c>
      <c r="I88" s="27" t="str">
        <f t="shared" si="11"/>
        <v/>
      </c>
      <c r="J88" s="55" t="str">
        <f t="shared" si="14"/>
        <v/>
      </c>
      <c r="K88" s="27" t="str">
        <f t="shared" si="12"/>
        <v/>
      </c>
      <c r="L88" s="24" t="str">
        <f t="shared" si="10"/>
        <v/>
      </c>
    </row>
    <row r="89" spans="1:12" x14ac:dyDescent="0.25">
      <c r="A89" s="95" t="s">
        <v>66</v>
      </c>
      <c r="B89" s="38">
        <v>869.25</v>
      </c>
      <c r="C89" s="102">
        <v>7.98</v>
      </c>
      <c r="D89" s="44">
        <v>8130</v>
      </c>
      <c r="E89" s="45">
        <v>10.65</v>
      </c>
      <c r="F89" s="58">
        <v>1.97</v>
      </c>
      <c r="G89" s="63">
        <v>7729.49</v>
      </c>
      <c r="H89" s="105">
        <f t="shared" si="13"/>
        <v>1.3345864661654134</v>
      </c>
      <c r="I89" s="27" t="str">
        <f t="shared" si="11"/>
        <v>Buy</v>
      </c>
      <c r="J89" s="55" t="str">
        <f t="shared" si="14"/>
        <v/>
      </c>
      <c r="K89" s="27" t="str">
        <f t="shared" si="12"/>
        <v/>
      </c>
      <c r="L89" s="24" t="str">
        <f t="shared" si="10"/>
        <v/>
      </c>
    </row>
    <row r="90" spans="1:12" x14ac:dyDescent="0.25">
      <c r="A90" s="95" t="s">
        <v>67</v>
      </c>
      <c r="B90" s="38">
        <v>1473.5</v>
      </c>
      <c r="C90" s="102">
        <v>8.27</v>
      </c>
      <c r="D90" s="44">
        <v>9070</v>
      </c>
      <c r="E90" s="45">
        <v>16.16</v>
      </c>
      <c r="F90" s="58">
        <v>2.69</v>
      </c>
      <c r="G90" s="63">
        <v>5780.02</v>
      </c>
      <c r="H90" s="105">
        <f t="shared" si="13"/>
        <v>1.954050785973398</v>
      </c>
      <c r="I90" s="27" t="str">
        <f t="shared" si="11"/>
        <v/>
      </c>
      <c r="J90" s="55" t="str">
        <f t="shared" si="14"/>
        <v/>
      </c>
      <c r="K90" s="27" t="str">
        <f t="shared" si="12"/>
        <v/>
      </c>
      <c r="L90" s="24" t="str">
        <f t="shared" si="10"/>
        <v/>
      </c>
    </row>
    <row r="91" spans="1:12" x14ac:dyDescent="0.25">
      <c r="A91" s="95" t="s">
        <v>120</v>
      </c>
      <c r="B91" s="38">
        <v>725.5</v>
      </c>
      <c r="C91" s="102">
        <v>4.6900000000000004</v>
      </c>
      <c r="D91" s="44">
        <v>2664</v>
      </c>
      <c r="E91" s="45">
        <v>26.91</v>
      </c>
      <c r="F91" s="58">
        <v>0</v>
      </c>
      <c r="G91" s="63">
        <v>4290.99</v>
      </c>
      <c r="H91" s="105">
        <f t="shared" si="13"/>
        <v>5.7377398720682296</v>
      </c>
      <c r="I91" s="27" t="str">
        <f t="shared" si="11"/>
        <v/>
      </c>
      <c r="J91" s="55" t="str">
        <f t="shared" si="14"/>
        <v/>
      </c>
      <c r="K91" s="27" t="str">
        <f t="shared" si="12"/>
        <v/>
      </c>
      <c r="L91" s="24" t="str">
        <f t="shared" si="10"/>
        <v/>
      </c>
    </row>
    <row r="92" spans="1:12" x14ac:dyDescent="0.25">
      <c r="A92" s="95" t="s">
        <v>68</v>
      </c>
      <c r="B92" s="38">
        <v>1372</v>
      </c>
      <c r="C92" s="102">
        <v>0.15</v>
      </c>
      <c r="D92" s="44">
        <v>4470</v>
      </c>
      <c r="E92" s="45">
        <v>30.45</v>
      </c>
      <c r="F92" s="58">
        <v>6.25</v>
      </c>
      <c r="G92" s="63">
        <v>13150.22</v>
      </c>
      <c r="H92" s="105">
        <f t="shared" si="13"/>
        <v>203</v>
      </c>
      <c r="I92" s="27" t="str">
        <f t="shared" si="11"/>
        <v/>
      </c>
      <c r="J92" s="55" t="str">
        <f t="shared" si="14"/>
        <v/>
      </c>
      <c r="K92" s="27" t="str">
        <f t="shared" si="12"/>
        <v>Buy</v>
      </c>
      <c r="L92" s="24" t="str">
        <f t="shared" si="10"/>
        <v/>
      </c>
    </row>
    <row r="93" spans="1:12" x14ac:dyDescent="0.25">
      <c r="A93" s="95" t="s">
        <v>69</v>
      </c>
      <c r="B93" s="38">
        <v>1348.75</v>
      </c>
      <c r="C93" s="102">
        <v>-6.95</v>
      </c>
      <c r="D93" s="44">
        <v>19970</v>
      </c>
      <c r="E93" s="45">
        <v>6.77</v>
      </c>
      <c r="F93" s="58">
        <v>4.0599999999999996</v>
      </c>
      <c r="G93" s="63">
        <v>32818.019999999997</v>
      </c>
      <c r="H93" s="105">
        <f t="shared" si="13"/>
        <v>-0.9741007194244603</v>
      </c>
      <c r="I93" s="27" t="str">
        <f t="shared" si="11"/>
        <v>Buy</v>
      </c>
      <c r="J93" s="55" t="str">
        <f t="shared" si="14"/>
        <v>Buy</v>
      </c>
      <c r="K93" s="27" t="str">
        <f t="shared" si="12"/>
        <v>Buy</v>
      </c>
      <c r="L93" s="24" t="str">
        <f t="shared" si="10"/>
        <v>Buy</v>
      </c>
    </row>
    <row r="94" spans="1:12" x14ac:dyDescent="0.25">
      <c r="A94" s="95" t="s">
        <v>70</v>
      </c>
      <c r="B94" s="38">
        <v>358.65</v>
      </c>
      <c r="C94" s="102">
        <v>2.33</v>
      </c>
      <c r="D94" s="44">
        <v>2970</v>
      </c>
      <c r="E94" s="45">
        <v>12.02</v>
      </c>
      <c r="F94" s="58">
        <v>4.21</v>
      </c>
      <c r="G94" s="63">
        <v>8484.4599999999991</v>
      </c>
      <c r="H94" s="105">
        <f t="shared" si="13"/>
        <v>5.1587982832618025</v>
      </c>
      <c r="I94" s="27" t="str">
        <f t="shared" si="11"/>
        <v/>
      </c>
      <c r="J94" s="55" t="str">
        <f t="shared" si="14"/>
        <v/>
      </c>
      <c r="K94" s="27" t="str">
        <f t="shared" si="12"/>
        <v>Buy</v>
      </c>
      <c r="L94" s="25" t="str">
        <f t="shared" si="10"/>
        <v/>
      </c>
    </row>
    <row r="95" spans="1:12" x14ac:dyDescent="0.25">
      <c r="A95" s="95" t="s">
        <v>71</v>
      </c>
      <c r="B95" s="38">
        <v>802.5</v>
      </c>
      <c r="C95" s="102">
        <v>1.07</v>
      </c>
      <c r="D95" s="44">
        <v>5970</v>
      </c>
      <c r="E95" s="45">
        <v>13.36</v>
      </c>
      <c r="F95" s="58">
        <v>3.34</v>
      </c>
      <c r="G95" s="63">
        <v>3714.29</v>
      </c>
      <c r="H95" s="105">
        <f t="shared" si="13"/>
        <v>12.485981308411214</v>
      </c>
      <c r="I95" s="27" t="str">
        <f t="shared" si="11"/>
        <v/>
      </c>
      <c r="J95" s="55" t="str">
        <f t="shared" si="14"/>
        <v/>
      </c>
      <c r="K95" s="27" t="str">
        <f t="shared" si="12"/>
        <v/>
      </c>
      <c r="L95" s="24" t="str">
        <f t="shared" si="10"/>
        <v/>
      </c>
    </row>
    <row r="96" spans="1:12" x14ac:dyDescent="0.25">
      <c r="A96" s="95" t="s">
        <v>72</v>
      </c>
      <c r="B96" s="38">
        <v>337.6</v>
      </c>
      <c r="C96" s="102">
        <v>-4.78</v>
      </c>
      <c r="D96" s="44">
        <v>154</v>
      </c>
      <c r="E96" s="45">
        <v>217.49</v>
      </c>
      <c r="F96" s="58">
        <v>4.41</v>
      </c>
      <c r="G96" s="63">
        <v>27077.040000000001</v>
      </c>
      <c r="H96" s="105">
        <f t="shared" si="13"/>
        <v>-45.5</v>
      </c>
      <c r="I96" s="27" t="str">
        <f t="shared" si="11"/>
        <v/>
      </c>
      <c r="J96" s="55" t="str">
        <f t="shared" si="14"/>
        <v>Buy</v>
      </c>
      <c r="K96" s="27" t="str">
        <f t="shared" si="12"/>
        <v>Buy</v>
      </c>
      <c r="L96" s="24" t="str">
        <f t="shared" si="10"/>
        <v/>
      </c>
    </row>
    <row r="97" spans="1:12" x14ac:dyDescent="0.25">
      <c r="A97" s="95" t="s">
        <v>121</v>
      </c>
      <c r="B97" s="38">
        <v>1820.5</v>
      </c>
      <c r="C97" s="102">
        <v>1.36</v>
      </c>
      <c r="D97" s="44">
        <v>10890</v>
      </c>
      <c r="E97" s="45">
        <v>16.64</v>
      </c>
      <c r="F97" s="58">
        <v>1.49</v>
      </c>
      <c r="G97" s="63">
        <v>4443.45</v>
      </c>
      <c r="H97" s="105">
        <f t="shared" si="13"/>
        <v>12.235294117647058</v>
      </c>
      <c r="I97" s="27" t="str">
        <f t="shared" si="11"/>
        <v/>
      </c>
      <c r="J97" s="55" t="str">
        <f t="shared" si="14"/>
        <v/>
      </c>
      <c r="K97" s="27" t="str">
        <f t="shared" si="12"/>
        <v/>
      </c>
      <c r="L97" s="24" t="str">
        <f t="shared" si="10"/>
        <v/>
      </c>
    </row>
    <row r="98" spans="1:12" x14ac:dyDescent="0.25">
      <c r="A98" s="95" t="s">
        <v>122</v>
      </c>
      <c r="B98" s="38">
        <v>406.5</v>
      </c>
      <c r="C98" s="102">
        <v>13.23</v>
      </c>
      <c r="D98" s="44">
        <v>540</v>
      </c>
      <c r="E98" s="45">
        <v>74.97</v>
      </c>
      <c r="F98" s="58">
        <v>3.34</v>
      </c>
      <c r="G98" s="63">
        <v>4526.2700000000004</v>
      </c>
      <c r="H98" s="105">
        <f t="shared" si="13"/>
        <v>5.6666666666666661</v>
      </c>
      <c r="I98" s="27" t="str">
        <f t="shared" si="11"/>
        <v/>
      </c>
      <c r="J98" s="55" t="str">
        <f t="shared" si="14"/>
        <v/>
      </c>
      <c r="K98" s="27" t="str">
        <f t="shared" si="12"/>
        <v/>
      </c>
      <c r="L98" s="24" t="str">
        <f t="shared" si="10"/>
        <v/>
      </c>
    </row>
    <row r="99" spans="1:12" x14ac:dyDescent="0.25">
      <c r="A99" s="95" t="s">
        <v>73</v>
      </c>
      <c r="B99" s="38">
        <v>838.25</v>
      </c>
      <c r="C99" s="102">
        <v>-5.5</v>
      </c>
      <c r="D99" s="44">
        <v>6880</v>
      </c>
      <c r="E99" s="45">
        <v>12.32</v>
      </c>
      <c r="F99" s="58">
        <v>1.42</v>
      </c>
      <c r="G99" s="63">
        <v>7711.54</v>
      </c>
      <c r="H99" s="105">
        <f t="shared" si="13"/>
        <v>-2.2400000000000002</v>
      </c>
      <c r="I99" s="27" t="str">
        <f t="shared" si="11"/>
        <v/>
      </c>
      <c r="J99" s="55" t="str">
        <f t="shared" si="14"/>
        <v>Buy</v>
      </c>
      <c r="K99" s="27" t="str">
        <f t="shared" si="12"/>
        <v/>
      </c>
      <c r="L99" s="24" t="str">
        <f t="shared" si="10"/>
        <v/>
      </c>
    </row>
    <row r="100" spans="1:12" x14ac:dyDescent="0.25">
      <c r="A100" s="95" t="s">
        <v>74</v>
      </c>
      <c r="B100" s="38">
        <v>2440</v>
      </c>
      <c r="C100" s="102">
        <v>-0.93</v>
      </c>
      <c r="D100" s="44">
        <v>15800</v>
      </c>
      <c r="E100" s="45">
        <v>15.43</v>
      </c>
      <c r="F100" s="58">
        <v>3.36</v>
      </c>
      <c r="G100" s="63">
        <v>31290.74</v>
      </c>
      <c r="H100" s="105">
        <f t="shared" si="13"/>
        <v>-16.591397849462364</v>
      </c>
      <c r="I100" s="27" t="str">
        <f t="shared" si="11"/>
        <v/>
      </c>
      <c r="J100" s="55" t="str">
        <f t="shared" si="14"/>
        <v>Buy</v>
      </c>
      <c r="K100" s="27" t="str">
        <f t="shared" si="12"/>
        <v/>
      </c>
      <c r="L100" s="24" t="str">
        <f t="shared" si="10"/>
        <v/>
      </c>
    </row>
    <row r="101" spans="1:12" x14ac:dyDescent="0.25">
      <c r="A101" s="95" t="s">
        <v>75</v>
      </c>
      <c r="B101" s="38">
        <v>664.5</v>
      </c>
      <c r="C101" s="102">
        <v>-0.23</v>
      </c>
      <c r="D101" s="44">
        <v>4350</v>
      </c>
      <c r="E101" s="45">
        <v>15.21</v>
      </c>
      <c r="F101" s="58">
        <v>5.27</v>
      </c>
      <c r="G101" s="63">
        <v>4512.3999999999996</v>
      </c>
      <c r="H101" s="105">
        <f t="shared" si="13"/>
        <v>-66.130434782608702</v>
      </c>
      <c r="I101" s="27" t="str">
        <f t="shared" si="11"/>
        <v/>
      </c>
      <c r="J101" s="55" t="str">
        <f t="shared" si="14"/>
        <v>Buy</v>
      </c>
      <c r="K101" s="27" t="str">
        <f t="shared" si="12"/>
        <v>Buy</v>
      </c>
      <c r="L101" s="24" t="str">
        <f t="shared" si="10"/>
        <v/>
      </c>
    </row>
    <row r="102" spans="1:12" x14ac:dyDescent="0.25">
      <c r="A102" s="95" t="s">
        <v>76</v>
      </c>
      <c r="B102" s="38">
        <v>237.28</v>
      </c>
      <c r="C102" s="102">
        <v>3.59</v>
      </c>
      <c r="D102" s="45">
        <v>87</v>
      </c>
      <c r="E102" s="45">
        <v>271.13</v>
      </c>
      <c r="F102" s="58">
        <v>4.43</v>
      </c>
      <c r="G102" s="63">
        <v>114316.9</v>
      </c>
      <c r="H102" s="105">
        <f t="shared" si="13"/>
        <v>75.523676880222837</v>
      </c>
      <c r="I102" s="27" t="str">
        <f t="shared" si="11"/>
        <v/>
      </c>
      <c r="J102" s="55" t="str">
        <f t="shared" si="14"/>
        <v/>
      </c>
      <c r="K102" s="27" t="str">
        <f t="shared" si="12"/>
        <v>Buy</v>
      </c>
      <c r="L102" s="24" t="str">
        <f t="shared" si="10"/>
        <v/>
      </c>
    </row>
    <row r="103" spans="1:12" x14ac:dyDescent="0.25">
      <c r="A103" s="95" t="s">
        <v>77</v>
      </c>
      <c r="B103" s="38">
        <v>2127</v>
      </c>
      <c r="C103" s="102">
        <v>-0.42</v>
      </c>
      <c r="D103" s="44">
        <v>14860</v>
      </c>
      <c r="E103" s="45">
        <v>14.15</v>
      </c>
      <c r="F103" s="58">
        <v>1.85</v>
      </c>
      <c r="G103" s="63">
        <v>4480.59</v>
      </c>
      <c r="H103" s="105">
        <f t="shared" si="13"/>
        <v>-33.69047619047619</v>
      </c>
      <c r="I103" s="27" t="str">
        <f t="shared" si="11"/>
        <v/>
      </c>
      <c r="J103" s="55" t="str">
        <f t="shared" si="14"/>
        <v>Buy</v>
      </c>
      <c r="K103" s="27" t="str">
        <f t="shared" si="12"/>
        <v/>
      </c>
      <c r="L103" s="24" t="str">
        <f t="shared" si="10"/>
        <v/>
      </c>
    </row>
    <row r="104" spans="1:12" x14ac:dyDescent="0.25">
      <c r="A104" s="95" t="s">
        <v>78</v>
      </c>
      <c r="B104" s="38">
        <v>3719.5</v>
      </c>
      <c r="C104" s="102">
        <v>6.79</v>
      </c>
      <c r="D104" s="44">
        <v>17089</v>
      </c>
      <c r="E104" s="45">
        <v>21.67</v>
      </c>
      <c r="F104" s="58">
        <v>1.61</v>
      </c>
      <c r="G104" s="63">
        <v>6693.82</v>
      </c>
      <c r="H104" s="105">
        <f t="shared" si="13"/>
        <v>3.1914580265095731</v>
      </c>
      <c r="I104" s="27" t="str">
        <f t="shared" si="11"/>
        <v/>
      </c>
      <c r="J104" s="55" t="str">
        <f t="shared" si="14"/>
        <v/>
      </c>
      <c r="K104" s="27" t="str">
        <f t="shared" si="12"/>
        <v/>
      </c>
      <c r="L104" s="24" t="str">
        <f t="shared" si="10"/>
        <v/>
      </c>
    </row>
    <row r="105" spans="1:12" x14ac:dyDescent="0.25">
      <c r="A105" s="95" t="s">
        <v>123</v>
      </c>
      <c r="B105" s="38">
        <v>393.65</v>
      </c>
      <c r="C105" s="102">
        <v>6.94</v>
      </c>
      <c r="D105" s="44">
        <v>2700</v>
      </c>
      <c r="E105" s="45">
        <v>14.46</v>
      </c>
      <c r="F105" s="58">
        <v>2.95</v>
      </c>
      <c r="G105" s="63">
        <v>3384.62</v>
      </c>
      <c r="H105" s="105">
        <f t="shared" si="13"/>
        <v>2.0835734870317002</v>
      </c>
      <c r="I105" s="27" t="str">
        <f t="shared" si="11"/>
        <v/>
      </c>
      <c r="J105" s="55" t="str">
        <f t="shared" si="14"/>
        <v/>
      </c>
      <c r="K105" s="27" t="str">
        <f t="shared" si="12"/>
        <v/>
      </c>
      <c r="L105" s="24" t="str">
        <f t="shared" si="10"/>
        <v/>
      </c>
    </row>
    <row r="106" spans="1:12" x14ac:dyDescent="0.25">
      <c r="A106" s="95" t="s">
        <v>79</v>
      </c>
      <c r="B106" s="41">
        <v>3382</v>
      </c>
      <c r="C106" s="102">
        <v>4.97</v>
      </c>
      <c r="D106" s="44">
        <v>11070</v>
      </c>
      <c r="E106" s="45">
        <v>30.5</v>
      </c>
      <c r="F106" s="58">
        <v>1.96</v>
      </c>
      <c r="G106" s="63">
        <v>8969.9699999999993</v>
      </c>
      <c r="H106" s="105">
        <f t="shared" si="13"/>
        <v>6.1368209255533204</v>
      </c>
      <c r="I106" s="2"/>
      <c r="J106" s="55" t="str">
        <f t="shared" si="14"/>
        <v/>
      </c>
      <c r="K106" s="2"/>
      <c r="L106" s="21"/>
    </row>
    <row r="107" spans="1:12" ht="15.75" thickBot="1" x14ac:dyDescent="0.3">
      <c r="A107" s="109" t="s">
        <v>124</v>
      </c>
      <c r="B107" s="42">
        <v>1378</v>
      </c>
      <c r="C107" s="103">
        <v>0.51</v>
      </c>
      <c r="D107" s="46">
        <v>6620</v>
      </c>
      <c r="E107" s="45">
        <v>20.64</v>
      </c>
      <c r="F107" s="59">
        <v>2.2200000000000002</v>
      </c>
      <c r="G107" s="64">
        <v>18380.18</v>
      </c>
      <c r="H107" s="106">
        <f t="shared" si="13"/>
        <v>40.470588235294116</v>
      </c>
      <c r="I107" s="3"/>
      <c r="J107" s="56" t="str">
        <f t="shared" si="14"/>
        <v/>
      </c>
      <c r="K107" s="3"/>
      <c r="L107" s="30"/>
    </row>
  </sheetData>
  <conditionalFormatting sqref="L7:L105">
    <cfRule type="cellIs" dxfId="5" priority="4" operator="equal">
      <formula>"Buy"</formula>
    </cfRule>
    <cfRule type="cellIs" dxfId="4" priority="7" operator="equal">
      <formula>"Buy"</formula>
    </cfRule>
    <cfRule type="cellIs" dxfId="3" priority="9" operator="equal">
      <formula>"Buy"</formula>
    </cfRule>
  </conditionalFormatting>
  <conditionalFormatting sqref="J20:J107 K20:K105 I20:I105 I7:K19">
    <cfRule type="cellIs" dxfId="2" priority="8" operator="equal">
      <formula>"Buy"</formula>
    </cfRule>
  </conditionalFormatting>
  <conditionalFormatting sqref="E7:E107">
    <cfRule type="cellIs" dxfId="1" priority="11" operator="lessThan">
      <formula>$C$2</formula>
    </cfRule>
  </conditionalFormatting>
  <conditionalFormatting sqref="F7:F105">
    <cfRule type="cellIs" dxfId="0" priority="15" operator="greaterThan">
      <formula>$C$4</formula>
    </cfRule>
  </conditionalFormatting>
  <hyperlinks>
    <hyperlink ref="A4" r:id="rId1"/>
  </hyperlinks>
  <pageMargins left="0.7" right="0.7" top="0.75" bottom="0.75" header="0.3" footer="0.3"/>
  <pageSetup paperSize="9"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TSE100">
                <anchor moveWithCells="1">
                  <from>
                    <xdr:col>0</xdr:col>
                    <xdr:colOff>609600</xdr:colOff>
                    <xdr:row>1</xdr:row>
                    <xdr:rowOff>9525</xdr:rowOff>
                  </from>
                  <to>
                    <xdr:col>0</xdr:col>
                    <xdr:colOff>2466975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5"/>
  <sheetViews>
    <sheetView tabSelected="1" workbookViewId="0">
      <selection activeCell="H11" sqref="H11"/>
    </sheetView>
  </sheetViews>
  <sheetFormatPr defaultRowHeight="15" x14ac:dyDescent="0.25"/>
  <cols>
    <col min="1" max="1" width="6" customWidth="1"/>
    <col min="2" max="2" width="27.140625" customWidth="1"/>
    <col min="4" max="4" width="10.140625" bestFit="1" customWidth="1"/>
    <col min="5" max="5" width="10.140625" customWidth="1"/>
    <col min="9" max="9" width="8.28515625" customWidth="1"/>
    <col min="13" max="13" width="11.5703125" bestFit="1" customWidth="1"/>
    <col min="14" max="14" width="11.140625" bestFit="1" customWidth="1"/>
    <col min="15" max="15" width="10.140625" bestFit="1" customWidth="1"/>
    <col min="16" max="16" width="10.7109375" customWidth="1"/>
  </cols>
  <sheetData>
    <row r="1" spans="1:16" ht="18.75" x14ac:dyDescent="0.3">
      <c r="B1" s="31" t="s">
        <v>85</v>
      </c>
    </row>
    <row r="2" spans="1:16" ht="15.75" thickBot="1" x14ac:dyDescent="0.3"/>
    <row r="3" spans="1:16" ht="15.75" thickBot="1" x14ac:dyDescent="0.3">
      <c r="A3" s="81"/>
      <c r="B3" s="16" t="s">
        <v>83</v>
      </c>
      <c r="C3" s="10" t="s">
        <v>0</v>
      </c>
      <c r="D3" s="9" t="s">
        <v>2</v>
      </c>
      <c r="E3" s="9" t="s">
        <v>129</v>
      </c>
      <c r="F3" s="9" t="s">
        <v>97</v>
      </c>
      <c r="G3" s="11" t="s">
        <v>4</v>
      </c>
      <c r="H3" s="11" t="s">
        <v>125</v>
      </c>
      <c r="I3" s="17" t="s">
        <v>98</v>
      </c>
      <c r="J3" s="10" t="s">
        <v>86</v>
      </c>
      <c r="K3" s="9" t="s">
        <v>87</v>
      </c>
      <c r="L3" s="9" t="s">
        <v>88</v>
      </c>
      <c r="M3" s="9" t="s">
        <v>89</v>
      </c>
      <c r="N3" s="9" t="s">
        <v>99</v>
      </c>
      <c r="O3" s="11" t="s">
        <v>91</v>
      </c>
      <c r="P3" s="12" t="s">
        <v>90</v>
      </c>
    </row>
    <row r="4" spans="1:16" x14ac:dyDescent="0.25">
      <c r="A4" s="74">
        <v>1</v>
      </c>
      <c r="B4" s="99" t="str">
        <f>'FTSE100 Data'!A81</f>
        <v>Royal Mail</v>
      </c>
      <c r="C4" s="83">
        <f>'FTSE100 Data'!B81</f>
        <v>580.5</v>
      </c>
      <c r="D4" s="98">
        <f>'FTSE100 Data'!D81/100</f>
        <v>0</v>
      </c>
      <c r="E4" s="98">
        <f>'FTSE100 Data'!D81</f>
        <v>0</v>
      </c>
      <c r="F4" s="94">
        <v>13.6</v>
      </c>
      <c r="G4" s="8" t="s">
        <v>101</v>
      </c>
      <c r="H4" s="8">
        <f>'FTSE100 Data'!F81</f>
        <v>0</v>
      </c>
      <c r="I4" s="84" t="e">
        <f>D4*1000/(C4*D4)</f>
        <v>#DIV/0!</v>
      </c>
      <c r="J4" s="85">
        <v>227</v>
      </c>
      <c r="K4" s="87">
        <f>(329.99559471/100)*J4</f>
        <v>749.08999999169998</v>
      </c>
      <c r="L4" s="70">
        <f>J4*(C4/100)</f>
        <v>1317.7349999999999</v>
      </c>
      <c r="M4" s="70">
        <f>(C4/100)*J4*(H4/100)</f>
        <v>0</v>
      </c>
      <c r="N4" s="71">
        <f t="shared" ref="N4" si="0">L4-K4</f>
        <v>568.64500000829992</v>
      </c>
      <c r="O4" s="70">
        <f t="shared" ref="O4" si="1">(L4-K4)+M4</f>
        <v>568.64500000829992</v>
      </c>
      <c r="P4" s="72">
        <f t="shared" ref="P4" si="2">(O4/K4)</f>
        <v>0.75911439214860776</v>
      </c>
    </row>
    <row r="5" spans="1:16" x14ac:dyDescent="0.25">
      <c r="A5" s="75">
        <f>1+A4</f>
        <v>2</v>
      </c>
      <c r="B5" s="100" t="str">
        <f>'FTSE100 Data'!A20</f>
        <v>Barclays</v>
      </c>
      <c r="C5" s="67">
        <f>'FTSE100 Data'!B20</f>
        <v>266.3</v>
      </c>
      <c r="D5" s="98">
        <f>'FTSE100 Data'!D20</f>
        <v>-850</v>
      </c>
      <c r="E5" s="98">
        <v>24</v>
      </c>
      <c r="F5" s="94">
        <v>7.6</v>
      </c>
      <c r="G5" s="68">
        <f>'FTSE100 Data'!H19</f>
        <v>0.3</v>
      </c>
      <c r="H5" s="68">
        <f>'FTSE100 Data'!F20</f>
        <v>2.46</v>
      </c>
      <c r="I5" s="69">
        <f>D5*1000/(C5*D5)</f>
        <v>3.755163349605708</v>
      </c>
      <c r="J5" s="80">
        <v>400</v>
      </c>
      <c r="K5" s="88">
        <f>(250.68/100)*J5+16.95</f>
        <v>1019.6700000000001</v>
      </c>
      <c r="L5" s="68">
        <f>J5*(C5/100)</f>
        <v>1065.2</v>
      </c>
      <c r="M5" s="7">
        <f>(C5/100)*J5*(H5/100)</f>
        <v>26.20392</v>
      </c>
      <c r="N5" s="66">
        <f>L5-K5</f>
        <v>45.529999999999973</v>
      </c>
      <c r="O5" s="7">
        <f>(L5-K5)+M5</f>
        <v>71.733919999999969</v>
      </c>
      <c r="P5" s="73">
        <f>(O5/K5)</f>
        <v>7.035013288612979E-2</v>
      </c>
    </row>
    <row r="6" spans="1:16" x14ac:dyDescent="0.25">
      <c r="A6" s="75">
        <f t="shared" ref="A6:A8" si="3">1+A5</f>
        <v>3</v>
      </c>
      <c r="B6" s="107" t="str">
        <f>'FTSE100 Data'!A82</f>
        <v>RSA Insurance Group</v>
      </c>
      <c r="C6" s="67">
        <f>'FTSE100 Data'!B82</f>
        <v>92.55</v>
      </c>
      <c r="D6" s="98" t="s">
        <v>101</v>
      </c>
      <c r="E6" s="98" t="s">
        <v>101</v>
      </c>
      <c r="F6" s="98">
        <v>13.2</v>
      </c>
      <c r="G6" s="98" t="s">
        <v>101</v>
      </c>
      <c r="H6" s="68">
        <f>'FTSE100 Data'!F82</f>
        <v>6.69</v>
      </c>
      <c r="I6" s="69" t="s">
        <v>128</v>
      </c>
      <c r="J6" s="80">
        <v>1000</v>
      </c>
      <c r="K6" s="88">
        <f>(105.5/100)*J6+16.95</f>
        <v>1071.95</v>
      </c>
      <c r="L6" s="68">
        <f>J6*(C6/100)</f>
        <v>925.5</v>
      </c>
      <c r="M6" s="7">
        <f>(C6/100)*J6*(H6/100)</f>
        <v>61.915950000000002</v>
      </c>
      <c r="N6" s="66">
        <f t="shared" ref="N6:N8" si="4">L6-K6</f>
        <v>-146.45000000000005</v>
      </c>
      <c r="O6" s="7">
        <f t="shared" ref="O6:O8" si="5">(L6-K6)+M6</f>
        <v>-84.534050000000036</v>
      </c>
      <c r="P6" s="73">
        <f t="shared" ref="P6:P8" si="6">(O6/K6)</f>
        <v>-7.8860068100191277E-2</v>
      </c>
    </row>
    <row r="7" spans="1:16" x14ac:dyDescent="0.25">
      <c r="A7" s="75">
        <f t="shared" si="3"/>
        <v>4</v>
      </c>
      <c r="B7" s="107" t="s">
        <v>126</v>
      </c>
      <c r="C7" s="67">
        <v>354</v>
      </c>
      <c r="D7" s="98" t="s">
        <v>101</v>
      </c>
      <c r="E7" s="98" t="s">
        <v>101</v>
      </c>
      <c r="F7" s="98" t="s">
        <v>101</v>
      </c>
      <c r="G7" s="98" t="s">
        <v>101</v>
      </c>
      <c r="H7" s="68">
        <v>0</v>
      </c>
      <c r="I7" s="69" t="s">
        <v>101</v>
      </c>
      <c r="J7" s="80">
        <v>317</v>
      </c>
      <c r="K7" s="88">
        <f>(315/100)*J7</f>
        <v>998.55</v>
      </c>
      <c r="L7" s="68">
        <f>J7*(C7/100)</f>
        <v>1122.18</v>
      </c>
      <c r="M7" s="7">
        <f>(C7/100)*J7*(H7/100)</f>
        <v>0</v>
      </c>
      <c r="N7" s="66">
        <f t="shared" si="4"/>
        <v>123.63000000000011</v>
      </c>
      <c r="O7" s="7">
        <f t="shared" si="5"/>
        <v>123.63000000000011</v>
      </c>
      <c r="P7" s="73">
        <f t="shared" si="6"/>
        <v>0.12380952380952392</v>
      </c>
    </row>
    <row r="8" spans="1:16" ht="15.75" thickBot="1" x14ac:dyDescent="0.3">
      <c r="A8" s="82">
        <f t="shared" si="3"/>
        <v>5</v>
      </c>
      <c r="B8" s="100" t="s">
        <v>127</v>
      </c>
      <c r="C8" s="67">
        <v>236.25</v>
      </c>
      <c r="D8" s="98" t="s">
        <v>101</v>
      </c>
      <c r="E8" s="98" t="s">
        <v>101</v>
      </c>
      <c r="F8" s="98" t="s">
        <v>101</v>
      </c>
      <c r="G8" s="98" t="s">
        <v>101</v>
      </c>
      <c r="H8" s="68">
        <v>0</v>
      </c>
      <c r="I8" s="69" t="s">
        <v>101</v>
      </c>
      <c r="J8" s="80">
        <v>437</v>
      </c>
      <c r="K8" s="89">
        <f>(260/100)*J8</f>
        <v>1136.2</v>
      </c>
      <c r="L8" s="90">
        <f>J8*(C8/100)</f>
        <v>1032.4124999999999</v>
      </c>
      <c r="M8" s="90">
        <f>(C8/100)*J8*(H8/100)</f>
        <v>0</v>
      </c>
      <c r="N8" s="91">
        <f t="shared" si="4"/>
        <v>-103.78750000000014</v>
      </c>
      <c r="O8" s="90">
        <f t="shared" si="5"/>
        <v>-103.78750000000014</v>
      </c>
      <c r="P8" s="92">
        <f t="shared" si="6"/>
        <v>-9.1346153846153966E-2</v>
      </c>
    </row>
    <row r="9" spans="1:16" ht="15.75" thickBot="1" x14ac:dyDescent="0.3">
      <c r="A9" s="65"/>
      <c r="B9" s="22"/>
      <c r="C9" s="22"/>
      <c r="D9" s="76"/>
      <c r="E9" s="76"/>
      <c r="F9" s="77"/>
      <c r="G9" s="78"/>
      <c r="H9" s="78"/>
      <c r="I9" s="79"/>
      <c r="J9" s="22"/>
      <c r="K9" s="86">
        <f>SUM(K4:K8)</f>
        <v>4975.4599999917</v>
      </c>
      <c r="L9" s="33">
        <f>SUM(L4:L8)</f>
        <v>5463.0275000000001</v>
      </c>
      <c r="M9" s="32">
        <f>SUM(M4:M8)</f>
        <v>88.119870000000006</v>
      </c>
      <c r="N9" s="36">
        <f>SUM(N4:N8)</f>
        <v>487.56750000829982</v>
      </c>
      <c r="O9" s="34">
        <f>SUM(O4:O8)</f>
        <v>575.68737000829992</v>
      </c>
      <c r="P9" s="23">
        <f>O9/K9</f>
        <v>0.11570535588855307</v>
      </c>
    </row>
    <row r="10" spans="1:16" x14ac:dyDescent="0.25">
      <c r="N10" s="35"/>
      <c r="P10" s="93"/>
    </row>
    <row r="11" spans="1:16" x14ac:dyDescent="0.25">
      <c r="B11" s="13" t="s">
        <v>94</v>
      </c>
      <c r="C11" s="14">
        <f>K9</f>
        <v>4975.4599999917</v>
      </c>
      <c r="D11" s="15"/>
      <c r="E11" s="15"/>
      <c r="I11" s="19"/>
    </row>
    <row r="12" spans="1:16" x14ac:dyDescent="0.25">
      <c r="B12" s="13" t="s">
        <v>92</v>
      </c>
      <c r="C12" s="14">
        <f>L9</f>
        <v>5463.0275000000001</v>
      </c>
      <c r="D12" s="15"/>
      <c r="E12" s="15"/>
      <c r="I12" s="18"/>
    </row>
    <row r="13" spans="1:16" x14ac:dyDescent="0.25">
      <c r="B13" s="13" t="s">
        <v>96</v>
      </c>
      <c r="C13" s="14">
        <f>C12-C11</f>
        <v>487.56750000830016</v>
      </c>
      <c r="D13" s="20">
        <f>(C13/C11)</f>
        <v>9.7994456795776369E-2</v>
      </c>
      <c r="E13" s="20"/>
      <c r="G13" s="97"/>
    </row>
    <row r="14" spans="1:16" x14ac:dyDescent="0.25">
      <c r="B14" s="13" t="s">
        <v>95</v>
      </c>
      <c r="C14" s="14">
        <f>M9</f>
        <v>88.119870000000006</v>
      </c>
      <c r="D14" s="20">
        <f>C14/C11</f>
        <v>1.771089909277675E-2</v>
      </c>
      <c r="E14" s="20"/>
    </row>
    <row r="15" spans="1:16" x14ac:dyDescent="0.25">
      <c r="B15" s="13" t="s">
        <v>93</v>
      </c>
      <c r="C15" s="14">
        <f>-C11+C12+C14</f>
        <v>575.68737000830015</v>
      </c>
      <c r="D15" s="20">
        <f>(C15/C11)</f>
        <v>0.11570535588855312</v>
      </c>
      <c r="E15" s="20"/>
    </row>
    <row r="16" spans="1:16" ht="15.75" thickBot="1" x14ac:dyDescent="0.3"/>
    <row r="17" spans="1:16" ht="15.75" thickBot="1" x14ac:dyDescent="0.3">
      <c r="A17" s="81"/>
      <c r="B17" s="16" t="s">
        <v>83</v>
      </c>
      <c r="C17" s="10" t="s">
        <v>0</v>
      </c>
      <c r="D17" s="9" t="s">
        <v>2</v>
      </c>
      <c r="E17" s="9" t="s">
        <v>129</v>
      </c>
      <c r="F17" s="9" t="s">
        <v>97</v>
      </c>
      <c r="G17" s="11" t="s">
        <v>4</v>
      </c>
      <c r="H17" s="11" t="s">
        <v>125</v>
      </c>
      <c r="I17" s="17" t="s">
        <v>98</v>
      </c>
      <c r="J17" s="10" t="s">
        <v>86</v>
      </c>
      <c r="K17" s="9" t="s">
        <v>87</v>
      </c>
      <c r="L17" s="9" t="s">
        <v>88</v>
      </c>
      <c r="M17" s="9" t="s">
        <v>89</v>
      </c>
      <c r="N17" s="9" t="s">
        <v>99</v>
      </c>
      <c r="O17" s="11" t="s">
        <v>91</v>
      </c>
      <c r="P17" s="12" t="s">
        <v>90</v>
      </c>
    </row>
    <row r="18" spans="1:16" x14ac:dyDescent="0.25">
      <c r="A18" s="74">
        <v>1</v>
      </c>
      <c r="B18" s="96" t="str">
        <f>'FTSE100 Data'!A64</f>
        <v>National Grid</v>
      </c>
      <c r="C18" s="83">
        <f>'FTSE100 Data'!B64</f>
        <v>785.5</v>
      </c>
      <c r="D18" s="98">
        <f>'FTSE100 Data'!D64/100</f>
        <v>62.6</v>
      </c>
      <c r="E18" s="98">
        <v>12</v>
      </c>
      <c r="F18" s="8">
        <f>C18/D18</f>
        <v>12.547923322683706</v>
      </c>
      <c r="G18" s="8">
        <f>F18/E18</f>
        <v>1.0456602768903089</v>
      </c>
      <c r="H18" s="8">
        <f>'FTSE100 Data'!F64</f>
        <v>5.18</v>
      </c>
      <c r="I18" s="84">
        <f>D18*1000/(C18*D18)</f>
        <v>1.273074474856779</v>
      </c>
      <c r="J18" s="85">
        <v>135</v>
      </c>
      <c r="K18" s="87">
        <f>(772.25/100)*J18+17.22</f>
        <v>1059.7574999999999</v>
      </c>
      <c r="L18" s="70">
        <f t="shared" ref="L18:L24" si="7">J18*(C18/100)</f>
        <v>1060.425</v>
      </c>
      <c r="M18" s="70">
        <f>(C18/100)*J18*(H18/100)</f>
        <v>54.930014999999997</v>
      </c>
      <c r="N18" s="71">
        <f t="shared" ref="N18" si="8">L18-K18</f>
        <v>0.66750000000001819</v>
      </c>
      <c r="O18" s="70">
        <f t="shared" ref="O18" si="9">(L18-K18)+M18</f>
        <v>55.597515000000016</v>
      </c>
      <c r="P18" s="72">
        <f t="shared" ref="P18" si="10">(O18/K18)</f>
        <v>5.2462487880482106E-2</v>
      </c>
    </row>
    <row r="19" spans="1:16" x14ac:dyDescent="0.25">
      <c r="A19" s="75">
        <f>1+A18</f>
        <v>2</v>
      </c>
      <c r="B19" s="100" t="str">
        <f>'FTSE100 Data'!A63</f>
        <v>Morrison (Wm) Supermarkets</v>
      </c>
      <c r="C19" s="67">
        <f>'FTSE100 Data'!B63</f>
        <v>264.89999999999998</v>
      </c>
      <c r="D19" s="98">
        <v>26.65</v>
      </c>
      <c r="E19" s="98">
        <v>7</v>
      </c>
      <c r="F19" s="8">
        <f>C19/D19</f>
        <v>9.9399624765478425</v>
      </c>
      <c r="G19" s="68">
        <v>1.3</v>
      </c>
      <c r="H19" s="68">
        <f>'FTSE100 Data'!F63</f>
        <v>4.62</v>
      </c>
      <c r="I19" s="84">
        <f t="shared" ref="I19:I24" si="11">D19*1000/(C19*D19)</f>
        <v>3.7750094375235941</v>
      </c>
      <c r="J19" s="80">
        <v>400</v>
      </c>
      <c r="K19" s="88">
        <f>(264.55/100)*J19+16.95</f>
        <v>1075.1500000000001</v>
      </c>
      <c r="L19" s="68">
        <f t="shared" si="7"/>
        <v>1059.5999999999999</v>
      </c>
      <c r="M19" s="7">
        <f>(C19/100)*J19*(H19/100)</f>
        <v>48.95351999999999</v>
      </c>
      <c r="N19" s="66">
        <f>L19-K19</f>
        <v>-15.550000000000182</v>
      </c>
      <c r="O19" s="7">
        <f>(L19-K19)+M19</f>
        <v>33.403519999999808</v>
      </c>
      <c r="P19" s="73">
        <f>(O19/K19)</f>
        <v>3.1068706692089294E-2</v>
      </c>
    </row>
    <row r="20" spans="1:16" x14ac:dyDescent="0.25">
      <c r="A20" s="75">
        <f t="shared" ref="A20:A22" si="12">1+A19</f>
        <v>3</v>
      </c>
      <c r="B20" s="107" t="str">
        <f>'FTSE100 Data'!A57</f>
        <v>Lloyds Banking Group ORD</v>
      </c>
      <c r="C20" s="67">
        <f>'FTSE100 Data'!B57</f>
        <v>78.2</v>
      </c>
      <c r="D20" s="98" t="s">
        <v>101</v>
      </c>
      <c r="E20" s="98" t="s">
        <v>101</v>
      </c>
      <c r="F20" s="8" t="s">
        <v>101</v>
      </c>
      <c r="G20" s="68">
        <v>1.3</v>
      </c>
      <c r="H20" s="68" t="s">
        <v>101</v>
      </c>
      <c r="I20" s="84" t="s">
        <v>101</v>
      </c>
      <c r="J20" s="80">
        <v>1299</v>
      </c>
      <c r="K20" s="88">
        <f>(77/100)*J20+16.95</f>
        <v>1017.1800000000001</v>
      </c>
      <c r="L20" s="68">
        <f t="shared" si="7"/>
        <v>1015.818</v>
      </c>
      <c r="M20" s="7">
        <v>0</v>
      </c>
      <c r="N20" s="66">
        <f t="shared" ref="N20:N24" si="13">L20-K20</f>
        <v>-1.36200000000008</v>
      </c>
      <c r="O20" s="7">
        <f t="shared" ref="O20:O24" si="14">(L20-K20)+M20</f>
        <v>-1.36200000000008</v>
      </c>
      <c r="P20" s="73">
        <f t="shared" ref="P20:P24" si="15">(O20/K20)</f>
        <v>-1.338996047897206E-3</v>
      </c>
    </row>
    <row r="21" spans="1:16" x14ac:dyDescent="0.25">
      <c r="A21" s="75">
        <f t="shared" si="12"/>
        <v>4</v>
      </c>
      <c r="B21" s="108" t="str">
        <f>'FTSE100 Data'!A84</f>
        <v>Sage Group (The)</v>
      </c>
      <c r="C21" s="67">
        <f>'FTSE100 Data'!B84</f>
        <v>403.8</v>
      </c>
      <c r="D21" s="98">
        <v>32.6</v>
      </c>
      <c r="E21" s="98">
        <v>9</v>
      </c>
      <c r="F21" s="8">
        <f>C21/D21</f>
        <v>12.386503067484663</v>
      </c>
      <c r="G21" s="68">
        <f>F21/E21</f>
        <v>1.3762781186094069</v>
      </c>
      <c r="H21" s="68">
        <f>'FTSE100 Data'!F84</f>
        <v>2.81</v>
      </c>
      <c r="I21" s="84">
        <f t="shared" si="11"/>
        <v>2.4764735017335311</v>
      </c>
      <c r="J21" s="80">
        <v>246</v>
      </c>
      <c r="K21" s="88">
        <f>(407.3/100)*J21+16.95</f>
        <v>1018.9080000000001</v>
      </c>
      <c r="L21" s="68">
        <f t="shared" si="7"/>
        <v>993.34800000000007</v>
      </c>
      <c r="M21" s="7">
        <f>(C21/100)*J21*(H21/100)</f>
        <v>27.913078800000001</v>
      </c>
      <c r="N21" s="66">
        <f t="shared" si="13"/>
        <v>-25.560000000000059</v>
      </c>
      <c r="O21" s="7">
        <f t="shared" si="14"/>
        <v>2.3530787999999419</v>
      </c>
      <c r="P21" s="73">
        <f t="shared" si="15"/>
        <v>2.3094124297777046E-3</v>
      </c>
    </row>
    <row r="22" spans="1:16" x14ac:dyDescent="0.25">
      <c r="A22" s="75">
        <f t="shared" si="12"/>
        <v>5</v>
      </c>
      <c r="B22" s="111" t="str">
        <f>'FTSE100 Data'!A21</f>
        <v>BG Group</v>
      </c>
      <c r="C22" s="67">
        <f>'FTSE100 Data'!B21</f>
        <v>1287.75</v>
      </c>
      <c r="D22" s="98">
        <f>'FTSE100 Data'!D22</f>
        <v>20440</v>
      </c>
      <c r="E22" s="98">
        <v>2.04</v>
      </c>
      <c r="F22" s="8">
        <f>'FTSE100 Data'!E21</f>
        <v>13.05</v>
      </c>
      <c r="G22" s="68">
        <f>F22/E22</f>
        <v>6.3970588235294121</v>
      </c>
      <c r="H22" s="68">
        <f>'FTSE100 Data'!F21</f>
        <v>1.38</v>
      </c>
      <c r="I22" s="84">
        <f t="shared" si="11"/>
        <v>0.77654824305960013</v>
      </c>
      <c r="J22" s="80">
        <v>60</v>
      </c>
      <c r="K22" s="88">
        <f>(1757.5/100)*J22+16.95</f>
        <v>1071.45</v>
      </c>
      <c r="L22" s="68">
        <f t="shared" si="7"/>
        <v>772.65</v>
      </c>
      <c r="M22" s="7">
        <f>(C22/100)*J22*(H22/100)</f>
        <v>10.662569999999999</v>
      </c>
      <c r="N22" s="66">
        <f t="shared" ref="N22" si="16">L22-K22</f>
        <v>-298.80000000000007</v>
      </c>
      <c r="O22" s="7">
        <f t="shared" ref="O22" si="17">(L22-K22)+M22</f>
        <v>-288.13743000000005</v>
      </c>
      <c r="P22" s="73">
        <f t="shared" ref="P22" si="18">(O22/K22)</f>
        <v>-0.26892288954220922</v>
      </c>
    </row>
    <row r="23" spans="1:16" x14ac:dyDescent="0.25">
      <c r="A23" s="75"/>
      <c r="B23" s="111" t="str">
        <f>'FTSE100 Data'!A66</f>
        <v>Old Mutual</v>
      </c>
      <c r="C23" s="67">
        <f>'FTSE100 Data'!B66</f>
        <v>191.85</v>
      </c>
      <c r="D23" s="98">
        <f>'FTSE100 Data'!D66</f>
        <v>2490</v>
      </c>
      <c r="E23" s="98">
        <v>3.6</v>
      </c>
      <c r="F23" s="8">
        <v>10.199999999999999</v>
      </c>
      <c r="G23" s="68" t="s">
        <v>101</v>
      </c>
      <c r="H23" s="68">
        <f>'FTSE100 Data'!F66</f>
        <v>3.85</v>
      </c>
      <c r="I23" s="84">
        <f t="shared" si="11"/>
        <v>5.2124055251498564</v>
      </c>
      <c r="J23" s="80">
        <v>551</v>
      </c>
      <c r="K23" s="88">
        <f>(185/100)*J23+16.95</f>
        <v>1036.3</v>
      </c>
      <c r="L23" s="68">
        <f t="shared" si="7"/>
        <v>1057.0934999999999</v>
      </c>
      <c r="M23" s="68">
        <f>(C23/100)*J23*(H23/100)</f>
        <v>40.698099749999997</v>
      </c>
      <c r="N23" s="66">
        <f t="shared" ref="N23" si="19">L23-K23</f>
        <v>20.793499999999995</v>
      </c>
      <c r="O23" s="7">
        <f t="shared" ref="O23" si="20">(L23-K23)+M23</f>
        <v>61.491599749999992</v>
      </c>
      <c r="P23" s="73">
        <f t="shared" ref="P23" si="21">(O23/K23)</f>
        <v>5.9337643298272694E-2</v>
      </c>
    </row>
    <row r="24" spans="1:16" ht="15.75" thickBot="1" x14ac:dyDescent="0.3">
      <c r="A24" s="75">
        <f>1+A22</f>
        <v>6</v>
      </c>
      <c r="B24" s="100" t="str">
        <f>'FTSE100 Data'!A70</f>
        <v>Prudential</v>
      </c>
      <c r="C24" s="67">
        <f>'FTSE100 Data'!B70</f>
        <v>1345</v>
      </c>
      <c r="D24" s="98">
        <v>86.5</v>
      </c>
      <c r="E24" s="98">
        <v>22</v>
      </c>
      <c r="F24" s="8">
        <f>C24/D24</f>
        <v>15.549132947976879</v>
      </c>
      <c r="G24" s="68">
        <f>F24/E24</f>
        <v>0.70677877036258541</v>
      </c>
      <c r="H24" s="68">
        <f>'FTSE100 Data'!F70</f>
        <v>2.2999999999999998</v>
      </c>
      <c r="I24" s="84">
        <f t="shared" si="11"/>
        <v>0.74349442379182151</v>
      </c>
      <c r="J24" s="80">
        <v>76</v>
      </c>
      <c r="K24" s="88">
        <f>(1311/100)*J24+16.95</f>
        <v>1013.31</v>
      </c>
      <c r="L24" s="90">
        <f t="shared" si="7"/>
        <v>1022.1999999999999</v>
      </c>
      <c r="M24" s="90">
        <f>(C24/100)*J24*(H24/100)</f>
        <v>23.510599999999997</v>
      </c>
      <c r="N24" s="91">
        <f t="shared" si="13"/>
        <v>8.8899999999999864</v>
      </c>
      <c r="O24" s="90">
        <f t="shared" si="14"/>
        <v>32.400599999999983</v>
      </c>
      <c r="P24" s="92">
        <f t="shared" si="15"/>
        <v>3.1975012582526559E-2</v>
      </c>
    </row>
    <row r="25" spans="1:16" ht="15.75" thickBot="1" x14ac:dyDescent="0.3">
      <c r="A25" s="65"/>
      <c r="B25" s="22"/>
      <c r="C25" s="22"/>
      <c r="D25" s="76"/>
      <c r="E25" s="76"/>
      <c r="F25" s="77"/>
      <c r="G25" s="78"/>
      <c r="H25" s="78"/>
      <c r="I25" s="79"/>
      <c r="J25" s="22"/>
      <c r="K25" s="86">
        <f>SUM(K18:K24)</f>
        <v>7292.0555000000004</v>
      </c>
      <c r="L25" s="33">
        <f>SUM(L18:L24)</f>
        <v>6981.1344999999992</v>
      </c>
      <c r="M25" s="32">
        <f>SUM(M18:M24)</f>
        <v>206.66788355</v>
      </c>
      <c r="N25" s="36">
        <f>SUM(N18:N24)</f>
        <v>-310.92100000000039</v>
      </c>
      <c r="O25" s="34">
        <f>SUM(O18:O24)</f>
        <v>-104.25311645000041</v>
      </c>
      <c r="P25" s="23">
        <f>O25/K25</f>
        <v>-1.4296807868508461E-2</v>
      </c>
    </row>
  </sheetData>
  <hyperlinks>
    <hyperlink ref="B1" r:id="rId1"/>
    <hyperlink ref="B5" r:id="rId2" display="http://www.hl.co.uk/shares/shares-search-results/b/barclays-plc-ordinary-25p"/>
    <hyperlink ref="B18" r:id="rId3" display="http://www.hl.co.uk/shares/shares-search-results/n/national-grid-ordinary-11,1743p"/>
    <hyperlink ref="B19" r:id="rId4" display="http://www.hl.co.uk/shares/shares-search-results/m/morrison-wm-supermarkets-ordinary-10p"/>
    <hyperlink ref="B4" r:id="rId5" display="http://www.hl.co.uk/shares/shares-search-results/r/rsa-insurance-group-27.5p"/>
    <hyperlink ref="B6" r:id="rId6" display="RMG"/>
    <hyperlink ref="B7" r:id="rId7"/>
    <hyperlink ref="B8" r:id="rId8"/>
    <hyperlink ref="B20" r:id="rId9" display="http://www.hl.co.uk/shares/shares-search-results/l/lloyds-banking-group-plc-ordinary-10p"/>
    <hyperlink ref="B24" r:id="rId10" display="http://www.hl.co.uk/shares/shares-search-results/p/prudential-plc-ordinary-5p-shares"/>
    <hyperlink ref="B21" r:id="rId11" display="http://www.hl.co.uk/shares/shares-search-results/s/sainsbury-j-plc-ordinary-28,47p"/>
  </hyperlinks>
  <pageMargins left="0.7" right="0.7" top="0.75" bottom="0.75" header="0.3" footer="0.3"/>
  <pageSetup paperSize="9" orientation="portrait" horizontalDpi="0" verticalDpi="0" r:id="rId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FTSE100 Data</vt:lpstr>
      <vt:lpstr>Analysis</vt:lpstr>
      <vt:lpstr>Sheet3</vt:lpstr>
      <vt:lpstr>'FTSE100 Data'!PerformanceTableProxy.aspx?security_classification_id_100002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2012-07-11T14:45:43Z</dcterms:created>
  <dcterms:modified xsi:type="dcterms:W3CDTF">2013-12-26T12:48:27Z</dcterms:modified>
</cp:coreProperties>
</file>